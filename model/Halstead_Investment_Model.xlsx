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1. Cover" sheetId="1" state="visible" r:id="rId1"/>
    <sheet xmlns:r="http://schemas.openxmlformats.org/officeDocument/2006/relationships" name="2. Sources &amp; Uses" sheetId="2" state="visible" r:id="rId2"/>
    <sheet xmlns:r="http://schemas.openxmlformats.org/officeDocument/2006/relationships" name="3. Rent Roll" sheetId="3" state="visible" r:id="rId3"/>
    <sheet xmlns:r="http://schemas.openxmlformats.org/officeDocument/2006/relationships" name="4. NOI Build" sheetId="4" state="visible" r:id="rId4"/>
    <sheet xmlns:r="http://schemas.openxmlformats.org/officeDocument/2006/relationships" name="5. Debt Schedule" sheetId="5" state="visible" r:id="rId5"/>
    <sheet xmlns:r="http://schemas.openxmlformats.org/officeDocument/2006/relationships" name="6. 5-Year Pro Forma" sheetId="6" state="visible" r:id="rId6"/>
    <sheet xmlns:r="http://schemas.openxmlformats.org/officeDocument/2006/relationships" name="7. Returns" sheetId="7" state="visible" r:id="rId7"/>
    <sheet xmlns:r="http://schemas.openxmlformats.org/officeDocument/2006/relationships" name="8. Sensitivity" sheetId="8" state="visible" r:id="rId8"/>
    <sheet xmlns:r="http://schemas.openxmlformats.org/officeDocument/2006/relationships" name="9. Scenarios" sheetId="9" state="visible" r:id="rId9"/>
    <sheet xmlns:r="http://schemas.openxmlformats.org/officeDocument/2006/relationships" name="10. Phase Plan" sheetId="10" state="visible" r:id="rId10"/>
    <sheet xmlns:r="http://schemas.openxmlformats.org/officeDocument/2006/relationships" name="11. Year 2 Refi" sheetId="11" state="visible" r:id="rId11"/>
    <sheet xmlns:r="http://schemas.openxmlformats.org/officeDocument/2006/relationships" name="12. Year 3 Refi" sheetId="12" state="visible" r:id="rId12"/>
    <sheet xmlns:r="http://schemas.openxmlformats.org/officeDocument/2006/relationships" name="13. Multi-Scenario IRR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\$#,##0.00"/>
    <numFmt numFmtId="167" formatCode="0.00\×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Helvetica Neue"/>
      <charset val="1"/>
      <family val="0"/>
      <b val="1"/>
      <color rgb="FF0A0A0A"/>
      <sz val="22"/>
    </font>
    <font>
      <name val="Calibri"/>
      <charset val="1"/>
      <family val="0"/>
      <i val="1"/>
      <color rgb="FF6B6B6B"/>
      <sz val="14"/>
    </font>
    <font>
      <name val="Calibri"/>
      <charset val="1"/>
      <family val="0"/>
      <b val="1"/>
      <color rgb="FFE8651D"/>
      <sz val="12"/>
    </font>
    <font>
      <name val="Calibri"/>
      <charset val="1"/>
      <family val="0"/>
      <b val="1"/>
      <color rgb="FFFFFFFF"/>
      <sz val="11"/>
    </font>
    <font>
      <name val="Cambria"/>
      <charset val="1"/>
      <family val="0"/>
      <b val="1"/>
      <sz val="10"/>
    </font>
    <font>
      <name val="Cambria"/>
      <charset val="1"/>
      <family val="0"/>
      <sz val="10"/>
    </font>
    <font>
      <name val="Cambria"/>
      <charset val="1"/>
      <family val="0"/>
      <b val="1"/>
      <color rgb="FFE8651D"/>
      <sz val="10"/>
    </font>
    <font>
      <name val="Cambria"/>
      <charset val="1"/>
      <family val="0"/>
      <i val="1"/>
      <color rgb="FF6B6B6B"/>
      <sz val="9"/>
    </font>
    <font>
      <name val="Helvetica Neue"/>
      <charset val="1"/>
      <family val="0"/>
      <b val="1"/>
      <color rgb="FF0A0A0A"/>
      <sz val="16"/>
    </font>
    <font>
      <name val="Calibri"/>
      <charset val="1"/>
      <family val="0"/>
      <color rgb="FF1A1A1A"/>
      <sz val="11"/>
    </font>
    <font>
      <name val="Calibri"/>
      <charset val="1"/>
      <family val="0"/>
      <b val="1"/>
      <color rgb="FF1A1A1A"/>
      <sz val="11"/>
    </font>
    <font>
      <name val="Cambria"/>
      <charset val="1"/>
      <family val="0"/>
      <i val="1"/>
      <sz val="10"/>
    </font>
    <font>
      <name val="Calibri"/>
      <charset val="1"/>
      <family val="0"/>
      <i val="1"/>
      <color rgb="FF1A1A1A"/>
      <sz val="11"/>
    </font>
    <font>
      <name val="Cambria"/>
      <charset val="1"/>
      <family val="0"/>
      <b val="1"/>
      <color rgb="FFE8651D"/>
      <sz val="11"/>
    </font>
    <font>
      <name val="Calibri"/>
      <charset val="1"/>
      <family val="0"/>
      <b val="1"/>
      <color rgb="FFE8651D"/>
      <sz val="11"/>
    </font>
    <font>
      <name val="Cambria"/>
      <charset val="1"/>
      <family val="0"/>
      <i val="1"/>
      <color rgb="FF6B6B6B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E8651D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9"/>
    </font>
    <font>
      <name val="Calibri"/>
      <charset val="1"/>
      <family val="0"/>
      <b val="1"/>
      <color rgb="FF1F6F3E"/>
      <sz val="11"/>
    </font>
    <font>
      <name val="Cambria"/>
      <charset val="1"/>
      <family val="0"/>
      <i val="1"/>
      <color rgb="FFB33A3A"/>
      <sz val="9"/>
    </font>
    <font>
      <name val="Calibri"/>
      <charset val="1"/>
      <family val="0"/>
      <b val="1"/>
      <color rgb="FFB33A3A"/>
      <sz val="11"/>
    </font>
    <font>
      <name val="Cambria"/>
      <charset val="1"/>
      <family val="0"/>
      <b val="1"/>
      <color rgb="FF1A1A1A"/>
      <sz val="10"/>
    </font>
    <font>
      <name val="Cambria"/>
      <charset val="1"/>
      <family val="0"/>
      <i val="1"/>
      <sz val="9"/>
    </font>
  </fonts>
  <fills count="6">
    <fill>
      <patternFill/>
    </fill>
    <fill>
      <patternFill patternType="gray125"/>
    </fill>
    <fill>
      <patternFill patternType="solid">
        <fgColor rgb="FFE8651D"/>
        <bgColor rgb="FFFF8080"/>
      </patternFill>
    </fill>
    <fill>
      <patternFill patternType="solid">
        <fgColor rgb="FFF5F5F3"/>
        <bgColor rgb="FFFFFFFF"/>
      </patternFill>
    </fill>
    <fill>
      <patternFill patternType="solid">
        <fgColor rgb="FF0A0A0A"/>
        <bgColor rgb="FF000000"/>
      </patternFill>
    </fill>
    <fill>
      <patternFill patternType="solid">
        <fgColor rgb="FFFBE8DC"/>
        <bgColor rgb="FFE5E5E5"/>
      </patternFill>
    </fill>
  </fills>
  <borders count="6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/>
      <diagonal/>
    </border>
    <border>
      <left/>
      <right style="thin">
        <color rgb="FFE5E5E5"/>
      </right>
      <top style="thin">
        <color rgb="FFE5E5E5"/>
      </top>
      <bottom/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4" fontId="14" fillId="3" borderId="0" applyAlignment="1" pivotButton="0" quotePrefix="0" xfId="0">
      <alignment horizontal="general" vertical="bottom"/>
    </xf>
    <xf numFmtId="165" fontId="14" fillId="3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6" fontId="13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6" fontId="13" fillId="5" borderId="0" applyAlignment="1" pivotButton="0" quotePrefix="0" xfId="0">
      <alignment horizontal="general" vertical="bottom"/>
    </xf>
    <xf numFmtId="164" fontId="13" fillId="5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64" fontId="6" fillId="5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4" fontId="18" fillId="5" borderId="0" applyAlignment="1" pivotButton="0" quotePrefix="0" xfId="0">
      <alignment horizontal="general" vertical="bottom"/>
    </xf>
    <xf numFmtId="167" fontId="14" fillId="0" borderId="0" applyAlignment="1" pivotButton="0" quotePrefix="0" xfId="0">
      <alignment horizontal="general" vertical="bottom"/>
    </xf>
    <xf numFmtId="10" fontId="18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0" fontId="22" fillId="4" borderId="0" applyAlignment="1" pivotButton="0" quotePrefix="0" xfId="0">
      <alignment horizontal="center" vertical="bottom"/>
    </xf>
    <xf numFmtId="167" fontId="13" fillId="0" borderId="0" applyAlignment="1" pivotButton="0" quotePrefix="0" xfId="0">
      <alignment horizontal="general" vertical="bottom"/>
    </xf>
    <xf numFmtId="167" fontId="17" fillId="5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center" vertical="bottom"/>
    </xf>
    <xf numFmtId="0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23" fillId="5" borderId="0" applyAlignment="1" pivotButton="0" quotePrefix="0" xfId="0">
      <alignment horizontal="general" vertical="top" wrapText="1"/>
    </xf>
    <xf numFmtId="164" fontId="1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bottom"/>
    </xf>
    <xf numFmtId="164" fontId="6" fillId="5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top" wrapText="1"/>
    </xf>
    <xf numFmtId="165" fontId="18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164" fontId="24" fillId="0" borderId="0" applyAlignment="1" pivotButton="0" quotePrefix="0" xfId="0">
      <alignment horizontal="general" vertical="bottom"/>
    </xf>
    <xf numFmtId="167" fontId="18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0" fontId="14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65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64" fontId="27" fillId="0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167" fontId="10" fillId="5" borderId="0" applyAlignment="1" pivotButton="0" quotePrefix="0" xfId="0">
      <alignment horizontal="general" vertical="bottom"/>
    </xf>
    <xf numFmtId="165" fontId="10" fillId="5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3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4" fontId="14" fillId="3" borderId="0" applyAlignment="1" pivotButton="0" quotePrefix="0" xfId="0">
      <alignment horizontal="general" vertical="bottom"/>
    </xf>
    <xf numFmtId="165" fontId="14" fillId="3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6" fontId="13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6" fontId="13" fillId="5" borderId="0" applyAlignment="1" pivotButton="0" quotePrefix="0" xfId="0">
      <alignment horizontal="general" vertical="bottom"/>
    </xf>
    <xf numFmtId="164" fontId="13" fillId="5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64" fontId="6" fillId="5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4" fontId="18" fillId="5" borderId="0" applyAlignment="1" pivotButton="0" quotePrefix="0" xfId="0">
      <alignment horizontal="general" vertical="bottom"/>
    </xf>
    <xf numFmtId="167" fontId="14" fillId="0" borderId="0" applyAlignment="1" pivotButton="0" quotePrefix="0" xfId="0">
      <alignment horizontal="general" vertical="bottom"/>
    </xf>
    <xf numFmtId="0" fontId="0" fillId="0" borderId="5" pivotButton="0" quotePrefix="0" xfId="0"/>
    <xf numFmtId="10" fontId="18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0" fontId="22" fillId="4" borderId="0" applyAlignment="1" pivotButton="0" quotePrefix="0" xfId="0">
      <alignment horizontal="center" vertical="bottom"/>
    </xf>
    <xf numFmtId="167" fontId="13" fillId="0" borderId="0" applyAlignment="1" pivotButton="0" quotePrefix="0" xfId="0">
      <alignment horizontal="general" vertical="bottom"/>
    </xf>
    <xf numFmtId="167" fontId="17" fillId="5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center" vertical="bottom"/>
    </xf>
    <xf numFmtId="0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general" vertical="bottom"/>
    </xf>
    <xf numFmtId="0" fontId="23" fillId="5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top" wrapText="1"/>
    </xf>
    <xf numFmtId="165" fontId="18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164" fontId="24" fillId="0" borderId="0" applyAlignment="1" pivotButton="0" quotePrefix="0" xfId="0">
      <alignment horizontal="general" vertical="bottom"/>
    </xf>
    <xf numFmtId="167" fontId="18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0" fontId="14" fillId="0" borderId="0" applyAlignment="1" pivotButton="0" quotePrefix="0" xfId="0">
      <alignment horizontal="general" vertical="bottom"/>
    </xf>
    <xf numFmtId="165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64" fontId="27" fillId="0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167" fontId="10" fillId="5" borderId="0" applyAlignment="1" pivotButton="0" quotePrefix="0" xfId="0">
      <alignment horizontal="general" vertical="bottom"/>
    </xf>
    <xf numFmtId="165" fontId="10" fillId="5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F3E"/>
      <rgbColor rgb="FF000080"/>
      <rgbColor rgb="FF808000"/>
      <rgbColor rgb="FF800080"/>
      <rgbColor rgb="FF008080"/>
      <rgbColor rgb="FFC0C0C0"/>
      <rgbColor rgb="FF808080"/>
      <rgbColor rgb="FF9999FF"/>
      <rgbColor rgb="FFB33A3A"/>
      <rgbColor rgb="FFF5F5F3"/>
      <rgbColor rgb="FFCCFFFF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8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651D"/>
      <rgbColor rgb="FF6B6B6B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76" min="1" max="1"/>
    <col width="28" customWidth="1" style="76" min="2" max="2"/>
    <col width="65" customWidth="1" style="76" min="3" max="3"/>
    <col width="4" customWidth="1" style="76" min="4" max="4"/>
  </cols>
  <sheetData>
    <row r="1"/>
    <row r="2" ht="37.5" customHeight="1" s="77">
      <c r="B2" s="78" t="inlineStr">
        <is>
          <t>213-215 HALSTEAD AVENUE</t>
        </is>
      </c>
    </row>
    <row r="3" ht="24" customHeight="1" s="77">
      <c r="B3" s="79" t="inlineStr">
        <is>
          <t>Mamaroneck, NY 10543 — Investment Model</t>
        </is>
      </c>
    </row>
    <row r="4"/>
    <row r="5" ht="15" customHeight="1" s="77">
      <c r="B5" s="80" t="inlineStr">
        <is>
          <t>Camelot &amp; Friends Equity Group, LLC</t>
        </is>
      </c>
    </row>
    <row r="6"/>
    <row r="7" ht="15" customHeight="1" s="77">
      <c r="B7" s="81" t="inlineStr">
        <is>
          <t>DEAL SNAPSHOT</t>
        </is>
      </c>
      <c r="C7" s="82" t="n"/>
    </row>
    <row r="8" ht="21.75" customHeight="1" s="77">
      <c r="B8" s="83" t="inlineStr">
        <is>
          <t>Purchase Price</t>
        </is>
      </c>
      <c r="C8" s="84" t="inlineStr">
        <is>
          <t>$1,000,000</t>
        </is>
      </c>
    </row>
    <row r="9" ht="21.75" customHeight="1" s="77">
      <c r="B9" s="83" t="inlineStr">
        <is>
          <t>Loan Amount (Ponce Bank)</t>
        </is>
      </c>
      <c r="C9" s="84" t="inlineStr">
        <is>
          <t>$690,000  |  69.0% LTV  |  6.50% / 30-yr fully amortizing</t>
        </is>
      </c>
    </row>
    <row r="10" ht="21.75" customHeight="1" s="77">
      <c r="B10" s="83" t="inlineStr">
        <is>
          <t>Equity Required</t>
        </is>
      </c>
      <c r="C10" s="84" t="inlineStr">
        <is>
          <t>$310,000</t>
        </is>
      </c>
    </row>
    <row r="11" ht="21.75" customHeight="1" s="77">
      <c r="B11" s="83" t="inlineStr">
        <is>
          <t>Estimated Closing Costs (no Phase I)</t>
        </is>
      </c>
      <c r="C11" s="84" t="inlineStr">
        <is>
          <t>$27,900</t>
        </is>
      </c>
    </row>
    <row r="12" ht="21.75" customHeight="1" s="77">
      <c r="B12" s="83" t="inlineStr">
        <is>
          <t>Total Cash Invested Day 1</t>
        </is>
      </c>
      <c r="C12" s="84" t="inlineStr">
        <is>
          <t>$337,900</t>
        </is>
      </c>
    </row>
    <row r="13" ht="21.75" customHeight="1" s="77">
      <c r="B13" s="83" t="inlineStr">
        <is>
          <t>Tenant</t>
        </is>
      </c>
      <c r="C13" s="84" t="inlineStr">
        <is>
          <t>Augustine's Salumeria LLC  |  Michelin Guide  |  Lease through Oct 2031</t>
        </is>
      </c>
    </row>
    <row r="14" ht="21.75" customHeight="1" s="77">
      <c r="B14" s="83" t="inlineStr">
        <is>
          <t>Year 1 NOI (Conservative)</t>
        </is>
      </c>
      <c r="C14" s="84" t="inlineStr">
        <is>
          <t>$65,248</t>
        </is>
      </c>
    </row>
    <row r="15" ht="21.75" customHeight="1" s="77">
      <c r="B15" s="83" t="inlineStr">
        <is>
          <t>Stabilized NOI (Year 2+)</t>
        </is>
      </c>
      <c r="C15" s="84" t="inlineStr">
        <is>
          <t>$67,728</t>
        </is>
      </c>
    </row>
    <row r="16" ht="21.75" customHeight="1" s="77">
      <c r="B16" s="83" t="inlineStr">
        <is>
          <t>Year 1 DSCR</t>
        </is>
      </c>
      <c r="C16" s="84" t="inlineStr">
        <is>
          <t>1.25×</t>
        </is>
      </c>
    </row>
    <row r="17" ht="21.75" customHeight="1" s="77">
      <c r="B17" s="83" t="inlineStr">
        <is>
          <t>Stabilized DSCR</t>
        </is>
      </c>
      <c r="C17" s="84" t="inlineStr">
        <is>
          <t>1.30×</t>
        </is>
      </c>
    </row>
    <row r="18" ht="21.75" customHeight="1" s="77">
      <c r="B18" s="83" t="inlineStr">
        <is>
          <t>Going-In Cap Rate (Stabilized)</t>
        </is>
      </c>
      <c r="C18" s="84" t="inlineStr">
        <is>
          <t>9.26% (Rent ÷ PP) / 6.77% (NOI ÷ PP)</t>
        </is>
      </c>
    </row>
    <row r="19" ht="21.75" customHeight="1" s="77">
      <c r="B19" s="83" t="inlineStr">
        <is>
          <t>Hold Period</t>
        </is>
      </c>
      <c r="C19" s="84" t="inlineStr">
        <is>
          <t>5 Years</t>
        </is>
      </c>
    </row>
    <row r="20" ht="21.75" customHeight="1" s="77">
      <c r="B20" s="83" t="inlineStr">
        <is>
          <t>Exit Strategy</t>
        </is>
      </c>
      <c r="C20" s="84" t="inlineStr">
        <is>
          <t>Refi (Ponce internal — no PP) or Sale</t>
        </is>
      </c>
    </row>
    <row r="21"/>
    <row r="22"/>
    <row r="23" ht="15" customHeight="1" s="77">
      <c r="B23" s="81" t="inlineStr">
        <is>
          <t>WORKBOOK MAP</t>
        </is>
      </c>
      <c r="C23" s="82" t="n"/>
    </row>
    <row r="24" ht="15" customHeight="1" s="77">
      <c r="B24" s="85" t="inlineStr">
        <is>
          <t>1. Cover</t>
        </is>
      </c>
      <c r="C24" s="86" t="inlineStr">
        <is>
          <t>This page — deal snapshot and workbook navigation</t>
        </is>
      </c>
    </row>
    <row r="25" ht="15" customHeight="1" s="77">
      <c r="B25" s="85" t="inlineStr">
        <is>
          <t>2. Sources &amp; Uses</t>
        </is>
      </c>
      <c r="C25" s="86" t="inlineStr">
        <is>
          <t>Capital structure, equity deployment, closing cost breakdown</t>
        </is>
      </c>
    </row>
    <row r="26" ht="15" customHeight="1" s="77">
      <c r="B26" s="85" t="inlineStr">
        <is>
          <t>3. Rent Roll</t>
        </is>
      </c>
      <c r="C26" s="86" t="inlineStr">
        <is>
          <t>Augustine's Salumeria lease schedule, escalations, renewal options</t>
        </is>
      </c>
    </row>
    <row r="27" ht="15" customHeight="1" s="77">
      <c r="B27" s="85" t="inlineStr">
        <is>
          <t>4. NOI Build</t>
        </is>
      </c>
      <c r="C27" s="86" t="inlineStr">
        <is>
          <t>Year 1 weighted rent calculation, OpEx detail, stabilized run-rate</t>
        </is>
      </c>
    </row>
    <row r="28" ht="15" customHeight="1" s="77">
      <c r="B28" s="85" t="inlineStr">
        <is>
          <t>5. Debt Schedule</t>
        </is>
      </c>
      <c r="C28" s="86" t="inlineStr">
        <is>
          <t>$690K Ponce loan: monthly amortization, interest/principal split, balance</t>
        </is>
      </c>
    </row>
    <row r="29" ht="15" customHeight="1" s="77">
      <c r="B29" s="85" t="inlineStr">
        <is>
          <t>6. 5-Year Pro Forma</t>
        </is>
      </c>
      <c r="C29" s="86" t="inlineStr">
        <is>
          <t>Annual cash flow projection over the 5-year hold</t>
        </is>
      </c>
    </row>
    <row r="30" ht="15" customHeight="1" s="77">
      <c r="B30" s="85" t="inlineStr">
        <is>
          <t>7. Returns</t>
        </is>
      </c>
      <c r="C30" s="86" t="inlineStr">
        <is>
          <t>Cash-on-cash, equity multiple, IRR by appreciation scenario</t>
        </is>
      </c>
    </row>
    <row r="31" ht="15" customHeight="1" s="77">
      <c r="B31" s="85" t="inlineStr">
        <is>
          <t>8. Sensitivity</t>
        </is>
      </c>
      <c r="C31" s="86" t="inlineStr">
        <is>
          <t>DSCR and IRR sensitivity to rate, exit cap, and rent assumptions</t>
        </is>
      </c>
    </row>
    <row r="32" ht="15" customHeight="1" s="77">
      <c r="B32" s="85" t="inlineStr">
        <is>
          <t>9. Scenarios</t>
        </is>
      </c>
      <c r="C32" s="86" t="inlineStr">
        <is>
          <t>Base / Downside / Upside scenarios — full model swap</t>
        </is>
      </c>
    </row>
    <row r="33"/>
    <row r="34"/>
    <row r="35" ht="15" customHeight="1" s="77">
      <c r="B35" s="87" t="inlineStr">
        <is>
          <t>PREPARED FOR: David A. Goldoff  |  PREPARED: May 21, 2026</t>
        </is>
      </c>
    </row>
  </sheetData>
  <mergeCells count="6">
    <mergeCell ref="B2:C2"/>
    <mergeCell ref="B7:C7"/>
    <mergeCell ref="B3:C3"/>
    <mergeCell ref="B5:C5"/>
    <mergeCell ref="B23:C23"/>
    <mergeCell ref="B35:C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76" min="1" max="1"/>
    <col width="45" customWidth="1" style="76" min="2" max="2"/>
    <col width="18" customWidth="1" style="76" min="3" max="3"/>
    <col width="14" customWidth="1" style="76" min="4" max="4"/>
  </cols>
  <sheetData>
    <row r="1"/>
    <row r="2" ht="19.5" customHeight="1" s="77">
      <c r="B2" s="88" t="inlineStr">
        <is>
          <t>SOURCES &amp; USES OF CAPITAL</t>
        </is>
      </c>
    </row>
    <row r="3"/>
    <row r="4" ht="15" customHeight="1" s="77">
      <c r="B4" s="89" t="inlineStr">
        <is>
          <t>SOURCES</t>
        </is>
      </c>
      <c r="C4" s="89" t="inlineStr">
        <is>
          <t>Amount</t>
        </is>
      </c>
      <c r="D4" s="89" t="inlineStr">
        <is>
          <t>% Total</t>
        </is>
      </c>
    </row>
    <row r="5" ht="15" customHeight="1" s="77">
      <c r="B5" s="76" t="inlineStr">
        <is>
          <t>Senior Mortgage — Ponce Bank (6.5% / 30-yr)</t>
        </is>
      </c>
      <c r="C5" s="90" t="n">
        <v>690000</v>
      </c>
      <c r="D5" s="91">
        <f>C5/C7</f>
        <v/>
      </c>
    </row>
    <row r="6" ht="15" customHeight="1" s="77">
      <c r="B6" s="76" t="inlineStr">
        <is>
          <t>Borrower Equity — David A. Goldoff (Managing Member)</t>
        </is>
      </c>
      <c r="C6" s="90" t="n">
        <v>310000</v>
      </c>
      <c r="D6" s="91">
        <f>C6/C7</f>
        <v/>
      </c>
    </row>
    <row r="7" ht="15" customHeight="1" s="77">
      <c r="B7" s="92" t="inlineStr">
        <is>
          <t>TOTAL SOURCES</t>
        </is>
      </c>
      <c r="C7" s="92">
        <f>SUM(C5:C6)</f>
        <v/>
      </c>
      <c r="D7" s="93" t="inlineStr">
        <is>
          <t>100.0%</t>
        </is>
      </c>
    </row>
    <row r="8"/>
    <row r="9"/>
    <row r="10" ht="15" customHeight="1" s="77">
      <c r="B10" s="89" t="inlineStr">
        <is>
          <t>USES</t>
        </is>
      </c>
      <c r="C10" s="89" t="inlineStr">
        <is>
          <t>Amount</t>
        </is>
      </c>
      <c r="D10" s="89" t="inlineStr">
        <is>
          <t>% Total</t>
        </is>
      </c>
    </row>
    <row r="11" ht="15" customHeight="1" s="77">
      <c r="B11" s="76" t="inlineStr">
        <is>
          <t>Purchase Price</t>
        </is>
      </c>
      <c r="C11" s="90" t="n">
        <v>1000000</v>
      </c>
      <c r="D11" s="91">
        <f>C11/C19</f>
        <v/>
      </c>
    </row>
    <row r="12" ht="15" customHeight="1" s="77">
      <c r="B12" s="76" t="inlineStr">
        <is>
          <t>Appraisal (Ponce-ordered)</t>
        </is>
      </c>
      <c r="C12" s="90" t="n">
        <v>2500</v>
      </c>
      <c r="D12" s="91">
        <f>C12/C19</f>
        <v/>
      </c>
    </row>
    <row r="13" ht="15" customHeight="1" s="77">
      <c r="B13" s="76" t="inlineStr">
        <is>
          <t>Phase I Environmental — NOT REQUIRED</t>
        </is>
      </c>
      <c r="C13" s="90" t="n">
        <v>0</v>
      </c>
      <c r="D13" s="91">
        <f>C13/C19</f>
        <v/>
      </c>
    </row>
    <row r="14" ht="15" customHeight="1" s="77">
      <c r="B14" s="76" t="inlineStr">
        <is>
          <t>Title Insurance (~0.6%)</t>
        </is>
      </c>
      <c r="C14" s="90" t="n">
        <v>6000</v>
      </c>
      <c r="D14" s="91">
        <f>C14/C19</f>
        <v/>
      </c>
    </row>
    <row r="15" ht="15" customHeight="1" s="77">
      <c r="B15" s="76" t="inlineStr">
        <is>
          <t>Survey</t>
        </is>
      </c>
      <c r="C15" s="90" t="n">
        <v>3500</v>
      </c>
      <c r="D15" s="91">
        <f>C15/C19</f>
        <v/>
      </c>
    </row>
    <row r="16" ht="15" customHeight="1" s="77">
      <c r="B16" s="76" t="inlineStr">
        <is>
          <t>Legal — David F. Fair, Esq.</t>
        </is>
      </c>
      <c r="C16" s="90" t="n">
        <v>7500</v>
      </c>
      <c r="D16" s="91">
        <f>C16/C19</f>
        <v/>
      </c>
    </row>
    <row r="17" ht="15" customHeight="1" s="77">
      <c r="B17" s="76" t="inlineStr">
        <is>
          <t>Recording Fees</t>
        </is>
      </c>
      <c r="C17" s="90" t="n">
        <v>1500</v>
      </c>
      <c r="D17" s="91">
        <f>C17/C19</f>
        <v/>
      </c>
    </row>
    <row r="18" ht="15" customHeight="1" s="77">
      <c r="B18" s="76" t="inlineStr">
        <is>
          <t>Loan Origination (Ponce ~1%)</t>
        </is>
      </c>
      <c r="C18" s="90" t="n">
        <v>6900</v>
      </c>
      <c r="D18" s="91">
        <f>C18/C19</f>
        <v/>
      </c>
    </row>
    <row r="19" ht="15" customHeight="1" s="77">
      <c r="B19" s="92" t="inlineStr">
        <is>
          <t>TOTAL USES</t>
        </is>
      </c>
      <c r="C19" s="92">
        <f>SUM(C12:C18)</f>
        <v/>
      </c>
      <c r="D19" s="93" t="inlineStr">
        <is>
          <t>100.0%</t>
        </is>
      </c>
    </row>
    <row r="20"/>
    <row r="21" ht="15" customHeight="1" s="77">
      <c r="B21" s="94" t="inlineStr">
        <is>
          <t>Total Closing Costs (above purchase price)</t>
        </is>
      </c>
      <c r="C21" s="95">
        <f>SUM(C16:C22)</f>
        <v/>
      </c>
    </row>
    <row r="22" ht="15" customHeight="1" s="77">
      <c r="B22" s="96" t="inlineStr">
        <is>
          <t>TOTAL CASH INVESTED Day 1 (Equity + Closing)</t>
        </is>
      </c>
      <c r="C22" s="97">
        <f>C6+C21</f>
        <v/>
      </c>
    </row>
    <row r="23"/>
    <row r="24"/>
    <row r="25" ht="15" customHeight="1" s="77">
      <c r="B25" s="81" t="inlineStr">
        <is>
          <t>EQUITY DEPLOYMENT TIMELINE</t>
        </is>
      </c>
      <c r="C25" s="81" t="inlineStr">
        <is>
          <t>Amount</t>
        </is>
      </c>
      <c r="D25" s="81" t="inlineStr">
        <is>
          <t>Refundability</t>
        </is>
      </c>
    </row>
    <row r="26" ht="15" customHeight="1" s="77">
      <c r="B26" s="76" t="inlineStr">
        <is>
          <t>Existing Deposit (already paid)</t>
        </is>
      </c>
      <c r="C26" s="90" t="n">
        <v>106000</v>
      </c>
      <c r="D26" s="87" t="inlineStr">
        <is>
          <t>REFUNDABLE per contract</t>
        </is>
      </c>
    </row>
    <row r="27" ht="15" customHeight="1" s="77">
      <c r="B27" s="76" t="inlineStr">
        <is>
          <t>New Additional Deposit (revised offer)</t>
        </is>
      </c>
      <c r="C27" s="90" t="n">
        <v>60000</v>
      </c>
      <c r="D27" s="87" t="inlineStr">
        <is>
          <t>NONREFUNDABLE upon acceptance</t>
        </is>
      </c>
    </row>
    <row r="28" ht="15" customHeight="1" s="77">
      <c r="B28" s="76" t="inlineStr">
        <is>
          <t>Remaining Equity at Closing</t>
        </is>
      </c>
      <c r="C28" s="90" t="n">
        <v>144000</v>
      </c>
      <c r="D28" s="87" t="inlineStr">
        <is>
          <t>Cash + bank statements</t>
        </is>
      </c>
    </row>
    <row r="29" ht="15" customHeight="1" s="77">
      <c r="B29" s="76" t="inlineStr">
        <is>
          <t>Plus Closing Costs at Closing</t>
        </is>
      </c>
      <c r="C29" s="90" t="n">
        <v>27900</v>
      </c>
      <c r="D29" s="87" t="inlineStr">
        <is>
          <t>Additional cash above equity</t>
        </is>
      </c>
    </row>
    <row r="30" ht="15" customHeight="1" s="77">
      <c r="B30" s="92" t="inlineStr">
        <is>
          <t>TOTAL CASH INVESTED Day 1</t>
        </is>
      </c>
      <c r="C30" s="92">
        <f>SUM(C26:C29)</f>
        <v/>
      </c>
      <c r="D30" s="92" t="n"/>
    </row>
  </sheetData>
  <mergeCells count="1"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76" min="1" max="1"/>
    <col width="8" customWidth="1" style="76" min="2" max="2"/>
    <col width="12" customWidth="1" style="76" min="3" max="4"/>
    <col width="14" customWidth="1" style="76" min="5" max="6"/>
    <col width="16" customWidth="1" style="76" min="7" max="7"/>
  </cols>
  <sheetData>
    <row r="1"/>
    <row r="2" ht="19.5" customHeight="1" s="77">
      <c r="B2" s="88" t="inlineStr">
        <is>
          <t>TENANT RENT ROLL — AUGUSTINE'S SALUMERIA LLC</t>
        </is>
      </c>
    </row>
    <row r="3"/>
    <row r="4" ht="15" customHeight="1" s="77">
      <c r="B4" s="98" t="inlineStr">
        <is>
          <t>Lease commenced: October 15, 2021  |  Initial term: 10 years  |  Two 5-yr renewal options  |  Article 3.B &amp; 3.C: 3.5% compounded annual escalation</t>
        </is>
      </c>
    </row>
    <row r="5"/>
    <row r="6" ht="15" customHeight="1" s="77">
      <c r="B6" s="89" t="inlineStr">
        <is>
          <t>Lease Yr</t>
        </is>
      </c>
      <c r="C6" s="89" t="inlineStr">
        <is>
          <t>Start Date</t>
        </is>
      </c>
      <c r="D6" s="89" t="inlineStr">
        <is>
          <t>End Date</t>
        </is>
      </c>
      <c r="E6" s="89" t="inlineStr">
        <is>
          <t>Monthly Rent</t>
        </is>
      </c>
      <c r="F6" s="89" t="inlineStr">
        <is>
          <t>Annual Rent</t>
        </is>
      </c>
      <c r="G6" s="89" t="inlineStr">
        <is>
          <t>Escalation</t>
        </is>
      </c>
    </row>
    <row r="7" ht="15" customHeight="1" s="77">
      <c r="B7" s="76" t="n">
        <v>1</v>
      </c>
      <c r="C7" s="76" t="inlineStr">
        <is>
          <t>10/15/2021</t>
        </is>
      </c>
      <c r="D7" s="76" t="inlineStr">
        <is>
          <t>3/15/2022</t>
        </is>
      </c>
      <c r="E7" s="99" t="n">
        <v>0</v>
      </c>
      <c r="F7" s="90" t="n">
        <v>0</v>
      </c>
      <c r="G7" s="86" t="inlineStr">
        <is>
          <t>Rent-free buildout</t>
        </is>
      </c>
    </row>
    <row r="8" ht="15" customHeight="1" s="77">
      <c r="B8" s="76" t="n">
        <v>1</v>
      </c>
      <c r="C8" s="76" t="inlineStr">
        <is>
          <t>3/15/2022</t>
        </is>
      </c>
      <c r="D8" s="76" t="inlineStr">
        <is>
          <t>10/15/2022</t>
        </is>
      </c>
      <c r="E8" s="99" t="n">
        <v>6500</v>
      </c>
      <c r="F8" s="90" t="n">
        <v>78000</v>
      </c>
      <c r="G8" s="86" t="inlineStr">
        <is>
          <t>Base</t>
        </is>
      </c>
    </row>
    <row r="9" ht="15" customHeight="1" s="77">
      <c r="B9" s="76" t="n">
        <v>2</v>
      </c>
      <c r="C9" s="76" t="inlineStr">
        <is>
          <t>10/15/2022</t>
        </is>
      </c>
      <c r="D9" s="76" t="inlineStr">
        <is>
          <t>10/15/2023</t>
        </is>
      </c>
      <c r="E9" s="99" t="n">
        <v>6727.5</v>
      </c>
      <c r="F9" s="90" t="n">
        <v>80730</v>
      </c>
      <c r="G9" s="86" t="inlineStr">
        <is>
          <t>+3.5%</t>
        </is>
      </c>
    </row>
    <row r="10" ht="15" customHeight="1" s="77">
      <c r="B10" s="76" t="n">
        <v>3</v>
      </c>
      <c r="C10" s="76" t="inlineStr">
        <is>
          <t>10/15/2023</t>
        </is>
      </c>
      <c r="D10" s="76" t="inlineStr">
        <is>
          <t>10/15/2024</t>
        </is>
      </c>
      <c r="E10" s="99" t="n">
        <v>6962.96</v>
      </c>
      <c r="F10" s="90" t="n">
        <v>83555.52</v>
      </c>
      <c r="G10" s="86" t="inlineStr">
        <is>
          <t>+3.5%</t>
        </is>
      </c>
    </row>
    <row r="11" ht="15" customHeight="1" s="77">
      <c r="B11" s="76" t="n">
        <v>4</v>
      </c>
      <c r="C11" s="76" t="inlineStr">
        <is>
          <t>10/15/2024</t>
        </is>
      </c>
      <c r="D11" s="76" t="inlineStr">
        <is>
          <t>10/15/2025</t>
        </is>
      </c>
      <c r="E11" s="99" t="n">
        <v>7206.67</v>
      </c>
      <c r="F11" s="90" t="n">
        <v>86480.03999999999</v>
      </c>
      <c r="G11" s="86" t="inlineStr">
        <is>
          <t>+3.5%</t>
        </is>
      </c>
    </row>
    <row r="12" ht="15" customHeight="1" s="77">
      <c r="B12" s="100" t="n">
        <v>5</v>
      </c>
      <c r="C12" s="100" t="inlineStr">
        <is>
          <t>10/15/2025</t>
        </is>
      </c>
      <c r="D12" s="100" t="inlineStr">
        <is>
          <t>10/15/2026</t>
        </is>
      </c>
      <c r="E12" s="101" t="n">
        <v>7458.9</v>
      </c>
      <c r="F12" s="102" t="n">
        <v>89506.8</v>
      </c>
      <c r="G12" s="103" t="inlineStr">
        <is>
          <t>+3.5% (current)</t>
        </is>
      </c>
    </row>
    <row r="13" ht="15" customHeight="1" s="77">
      <c r="B13" s="100" t="n">
        <v>6</v>
      </c>
      <c r="C13" s="100" t="inlineStr">
        <is>
          <t>10/15/2026</t>
        </is>
      </c>
      <c r="D13" s="100" t="inlineStr">
        <is>
          <t>10/15/2027</t>
        </is>
      </c>
      <c r="E13" s="101" t="n">
        <v>7719.96</v>
      </c>
      <c r="F13" s="102" t="n">
        <v>92639.52</v>
      </c>
      <c r="G13" s="103" t="inlineStr">
        <is>
          <t>+3.5% (next step)</t>
        </is>
      </c>
    </row>
    <row r="14" ht="15" customHeight="1" s="77">
      <c r="B14" s="76" t="n">
        <v>7</v>
      </c>
      <c r="C14" s="76" t="inlineStr">
        <is>
          <t>10/15/2027</t>
        </is>
      </c>
      <c r="D14" s="76" t="inlineStr">
        <is>
          <t>10/15/2028</t>
        </is>
      </c>
      <c r="E14" s="99" t="n">
        <v>7990.16</v>
      </c>
      <c r="F14" s="90" t="n">
        <v>95881.92</v>
      </c>
      <c r="G14" s="86" t="inlineStr">
        <is>
          <t>+3.5%</t>
        </is>
      </c>
    </row>
    <row r="15" ht="15" customHeight="1" s="77">
      <c r="B15" s="76" t="n">
        <v>8</v>
      </c>
      <c r="C15" s="76" t="inlineStr">
        <is>
          <t>10/15/2028</t>
        </is>
      </c>
      <c r="D15" s="76" t="inlineStr">
        <is>
          <t>10/15/2029</t>
        </is>
      </c>
      <c r="E15" s="99" t="n">
        <v>8269.82</v>
      </c>
      <c r="F15" s="90" t="n">
        <v>99237.84</v>
      </c>
      <c r="G15" s="86" t="inlineStr">
        <is>
          <t>+3.5%</t>
        </is>
      </c>
    </row>
    <row r="16" ht="15" customHeight="1" s="77">
      <c r="B16" s="76" t="n">
        <v>9</v>
      </c>
      <c r="C16" s="76" t="inlineStr">
        <is>
          <t>10/15/2029</t>
        </is>
      </c>
      <c r="D16" s="76" t="inlineStr">
        <is>
          <t>10/15/2030</t>
        </is>
      </c>
      <c r="E16" s="99" t="n">
        <v>8559.26</v>
      </c>
      <c r="F16" s="90" t="n">
        <v>102711.12</v>
      </c>
      <c r="G16" s="86" t="inlineStr">
        <is>
          <t>+3.5%</t>
        </is>
      </c>
    </row>
    <row r="17" ht="15" customHeight="1" s="77">
      <c r="B17" s="76" t="n">
        <v>10</v>
      </c>
      <c r="C17" s="76" t="inlineStr">
        <is>
          <t>10/15/2030</t>
        </is>
      </c>
      <c r="D17" s="76" t="inlineStr">
        <is>
          <t>10/15/2031</t>
        </is>
      </c>
      <c r="E17" s="99" t="n">
        <v>8858.83</v>
      </c>
      <c r="F17" s="90" t="n">
        <v>106305.96</v>
      </c>
      <c r="G17" s="86" t="inlineStr">
        <is>
          <t>+3.5%</t>
        </is>
      </c>
    </row>
    <row r="18"/>
    <row r="19"/>
    <row r="20" ht="15" customHeight="1" s="77">
      <c r="B20" s="104" t="inlineStr">
        <is>
          <t>Additional Rent (Article 3.D):</t>
        </is>
      </c>
    </row>
    <row r="21" ht="15" customHeight="1" s="77">
      <c r="B21" s="94" t="inlineStr">
        <is>
          <t>Tenant pays 100% of property tax INCREASES above the 2022 base year</t>
        </is>
      </c>
    </row>
    <row r="22"/>
    <row r="23" ht="15" customHeight="1" s="77">
      <c r="B23" s="104" t="inlineStr">
        <is>
          <t>Security Deposit (Article 28):</t>
        </is>
      </c>
    </row>
    <row r="24" ht="15" customHeight="1" s="77">
      <c r="B24" s="94" t="inlineStr">
        <is>
          <t>$13,000 initial (2 months base rent) + 3.5% annual replenishment.  Current balance approx $14,918.</t>
        </is>
      </c>
    </row>
    <row r="25"/>
    <row r="26" ht="15" customHeight="1" s="77">
      <c r="B26" s="98" t="inlineStr">
        <is>
          <t>Right of First Refusal (Article 38): Tenant has 7-business-day ROFR on bona fide sale offers.</t>
        </is>
      </c>
    </row>
  </sheetData>
  <mergeCells count="7">
    <mergeCell ref="B24:G24"/>
    <mergeCell ref="B2:G2"/>
    <mergeCell ref="B20:G20"/>
    <mergeCell ref="B23:G23"/>
    <mergeCell ref="B4:G4"/>
    <mergeCell ref="B26:G26"/>
    <mergeCell ref="B21:G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76" min="1" max="1"/>
    <col width="50" customWidth="1" style="76" min="2" max="2"/>
    <col width="18" customWidth="1" style="76" min="3" max="4"/>
  </cols>
  <sheetData>
    <row r="1"/>
    <row r="2" ht="19.5" customHeight="1" s="77">
      <c r="B2" s="88" t="inlineStr">
        <is>
          <t>NET OPERATING INCOME BUILD</t>
        </is>
      </c>
    </row>
    <row r="3"/>
    <row r="4" ht="23.25" customHeight="1" s="77">
      <c r="C4" s="89" t="inlineStr">
        <is>
          <t>Year 1 (Cal 2026 Weighted)</t>
        </is>
      </c>
      <c r="D4" s="89" t="inlineStr">
        <is>
          <t>Stabilized (Year 2+)</t>
        </is>
      </c>
    </row>
    <row r="5"/>
    <row r="6" ht="15" customHeight="1" s="77">
      <c r="B6" s="96" t="inlineStr">
        <is>
          <t>GROSS INCOME</t>
        </is>
      </c>
    </row>
    <row r="7" ht="15" customHeight="1" s="77">
      <c r="B7" s="76" t="inlineStr">
        <is>
          <t>Period 1: 9.5 mo × $7,458.90 (Lease Yr 5)</t>
        </is>
      </c>
      <c r="C7" s="90">
        <f>ROUND(9.5*7458.9,0)</f>
        <v/>
      </c>
    </row>
    <row r="8" ht="15" customHeight="1" s="77">
      <c r="B8" s="76" t="inlineStr">
        <is>
          <t>Period 2: 2.5 mo × $7,719.96 (Lease Yr 6)</t>
        </is>
      </c>
      <c r="C8" s="90">
        <f>ROUND(2.5*7719.96,0)</f>
        <v/>
      </c>
    </row>
    <row r="9" ht="15" customHeight="1" s="77">
      <c r="B9" s="76" t="inlineStr">
        <is>
          <t>Stabilized: $7,719.96/mo × 12 (Lease Yr 6)</t>
        </is>
      </c>
      <c r="D9" s="90">
        <f>ROUND(7719.96*12,0)</f>
        <v/>
      </c>
    </row>
    <row r="10" ht="15" customHeight="1" s="77">
      <c r="B10" s="105" t="inlineStr">
        <is>
          <t>Gross Effective Rent</t>
        </is>
      </c>
      <c r="C10" s="106">
        <f>C7+C8</f>
        <v/>
      </c>
      <c r="D10" s="106">
        <f>D9</f>
        <v/>
      </c>
    </row>
    <row r="11" ht="15" customHeight="1" s="77">
      <c r="B11" s="76" t="inlineStr">
        <is>
          <t>Less: Vacancy / Credit Loss (single tenant in place)</t>
        </is>
      </c>
      <c r="C11" s="90" t="n">
        <v>0</v>
      </c>
      <c r="D11" s="90" t="n">
        <v>0</v>
      </c>
    </row>
    <row r="12" ht="15" customHeight="1" s="77">
      <c r="B12" s="105" t="inlineStr">
        <is>
          <t>EFFECTIVE GROSS INCOME (EGI)</t>
        </is>
      </c>
      <c r="C12" s="92">
        <f>C10-C11</f>
        <v/>
      </c>
      <c r="D12" s="92">
        <f>D10-D11</f>
        <v/>
      </c>
    </row>
    <row r="13"/>
    <row r="14" ht="15" customHeight="1" s="77">
      <c r="B14" s="96" t="inlineStr">
        <is>
          <t>OPERATING EXPENSES</t>
        </is>
      </c>
    </row>
    <row r="15" ht="15" customHeight="1" s="77">
      <c r="B15" s="76" t="inlineStr">
        <is>
          <t>Real Estate Taxes (PropertyShark with Village exemption)</t>
        </is>
      </c>
      <c r="C15" s="90" t="n">
        <v>11007</v>
      </c>
      <c r="D15" s="90" t="n">
        <v>11007</v>
      </c>
    </row>
    <row r="16" ht="15" customHeight="1" s="77">
      <c r="B16" s="76" t="inlineStr">
        <is>
          <t>Insurance</t>
        </is>
      </c>
      <c r="C16" s="90" t="n">
        <v>5800</v>
      </c>
      <c r="D16" s="90" t="n">
        <v>5800</v>
      </c>
    </row>
    <row r="17" ht="15" customHeight="1" s="77">
      <c r="B17" s="76" t="inlineStr">
        <is>
          <t>Management Fee (3% EGI + $1,000 light cushion) — internal to Camelot</t>
        </is>
      </c>
      <c r="C17" s="90" t="n">
        <v>3705</v>
      </c>
      <c r="D17" s="90" t="n">
        <v>3705</v>
      </c>
    </row>
    <row r="18" ht="15" customHeight="1" s="77">
      <c r="B18" s="76" t="inlineStr">
        <is>
          <t>Accounting / Tax Return Preparation</t>
        </is>
      </c>
      <c r="C18" s="90" t="n">
        <v>2500</v>
      </c>
      <c r="D18" s="90" t="n">
        <v>2500</v>
      </c>
    </row>
    <row r="19" ht="15" customHeight="1" s="77">
      <c r="B19" s="76" t="inlineStr">
        <is>
          <t>Legal Services (minimal post-closing)</t>
        </is>
      </c>
      <c r="C19" s="90" t="n">
        <v>1500</v>
      </c>
      <c r="D19" s="90" t="n">
        <v>1500</v>
      </c>
    </row>
    <row r="20" ht="15" customHeight="1" s="77">
      <c r="B20" s="76" t="inlineStr">
        <is>
          <t>Corporate Filing &amp; Compliance Fees (10% of Acct + Legal)</t>
        </is>
      </c>
      <c r="C20" s="90" t="n">
        <v>400</v>
      </c>
      <c r="D20" s="90" t="n">
        <v>400</v>
      </c>
    </row>
    <row r="21" ht="15" customHeight="1" s="77">
      <c r="B21" s="105" t="inlineStr">
        <is>
          <t>TOTAL OPERATING EXPENSES</t>
        </is>
      </c>
      <c r="C21" s="92">
        <f>SUM(C15:C20)</f>
        <v/>
      </c>
      <c r="D21" s="92">
        <f>SUM(D15:D20)</f>
        <v/>
      </c>
    </row>
    <row r="22"/>
    <row r="23" ht="15" customHeight="1" s="77">
      <c r="B23" s="107" t="inlineStr">
        <is>
          <t>NET OPERATING INCOME (NOI)</t>
        </is>
      </c>
      <c r="C23" s="108">
        <f>C12-C21</f>
        <v/>
      </c>
      <c r="D23" s="108">
        <f>D12-D21</f>
        <v/>
      </c>
    </row>
    <row r="24"/>
    <row r="25" ht="15" customHeight="1" s="77">
      <c r="B25" s="96" t="inlineStr">
        <is>
          <t>DEBT SERVICE &amp; COVERAGE</t>
        </is>
      </c>
    </row>
    <row r="26" ht="15" customHeight="1" s="77">
      <c r="B26" s="76" t="inlineStr">
        <is>
          <t>Annual Debt Service ($690K @ 6.5% / 30-yr fully am)</t>
        </is>
      </c>
      <c r="C26" s="90">
        <f>PMT(0.065/12,360,-690000)*12</f>
        <v/>
      </c>
      <c r="D26" s="90">
        <f>PMT(0.065/12,360,-690000)*12</f>
        <v/>
      </c>
    </row>
    <row r="27" ht="15" customHeight="1" s="77">
      <c r="B27" s="105" t="inlineStr">
        <is>
          <t>Cash Flow After Debt Service</t>
        </is>
      </c>
      <c r="C27" s="106">
        <f>C23-C26</f>
        <v/>
      </c>
      <c r="D27" s="106">
        <f>D23-D26</f>
        <v/>
      </c>
    </row>
    <row r="28" ht="15" customHeight="1" s="77">
      <c r="B28" s="96" t="inlineStr">
        <is>
          <t>DSCR</t>
        </is>
      </c>
      <c r="C28" s="109">
        <f>C23/C26</f>
        <v/>
      </c>
      <c r="D28" s="109">
        <f>D23/D26</f>
        <v/>
      </c>
    </row>
  </sheetData>
  <mergeCells count="1"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76" min="1" max="1"/>
    <col width="6" customWidth="1" style="76" min="2" max="2"/>
    <col width="14" customWidth="1" style="76" min="3" max="7"/>
  </cols>
  <sheetData>
    <row r="1"/>
    <row r="2" ht="19.5" customHeight="1" s="77">
      <c r="B2" s="88" t="inlineStr">
        <is>
          <t>DEBT AMORTIZATION SCHEDULE — PONCE BANK</t>
        </is>
      </c>
    </row>
    <row r="3"/>
    <row r="4" ht="15" customHeight="1" s="77">
      <c r="B4" s="98" t="inlineStr">
        <is>
          <t>Loan: $690,000  |  Rate: 6.50% fixed 5 yrs  |  Term: 30 years fully amortizing  |  Monthly P&amp;I: $4,361</t>
        </is>
      </c>
    </row>
    <row r="5"/>
    <row r="6" ht="15" customHeight="1" s="77">
      <c r="B6" s="89" t="inlineStr">
        <is>
          <t>Year</t>
        </is>
      </c>
      <c r="C6" s="89" t="inlineStr">
        <is>
          <t>Beg Balance</t>
        </is>
      </c>
      <c r="D6" s="89" t="inlineStr">
        <is>
          <t>P&amp;I Payment</t>
        </is>
      </c>
      <c r="E6" s="89" t="inlineStr">
        <is>
          <t>Interest</t>
        </is>
      </c>
      <c r="F6" s="89" t="inlineStr">
        <is>
          <t>Principal</t>
        </is>
      </c>
      <c r="G6" s="89" t="inlineStr">
        <is>
          <t>End Balance</t>
        </is>
      </c>
    </row>
    <row r="7" ht="15" customHeight="1" s="77">
      <c r="B7" s="76" t="inlineStr">
        <is>
          <t>1</t>
        </is>
      </c>
      <c r="C7" s="90" t="n">
        <v>690000</v>
      </c>
      <c r="D7" s="90">
        <f>PMT(0.065/12,360,-690000)*12</f>
        <v/>
      </c>
      <c r="E7" s="90">
        <f>CUMIPMT(0.065/12,360,690000,1,12,0)*-1</f>
        <v/>
      </c>
      <c r="F7" s="90">
        <f>D7-E7</f>
        <v/>
      </c>
      <c r="G7" s="90">
        <f>C7-F7</f>
        <v/>
      </c>
    </row>
    <row r="8" ht="15" customHeight="1" s="77">
      <c r="B8" s="76" t="n">
        <v>2</v>
      </c>
      <c r="C8" s="90">
        <f>G7</f>
        <v/>
      </c>
      <c r="D8" s="90">
        <f>PMT(0.065/12,360,-690000)*12</f>
        <v/>
      </c>
      <c r="E8" s="90">
        <f>CUMIPMT(0.065/12,360,690000,13,24,0)*-1</f>
        <v/>
      </c>
      <c r="F8" s="90">
        <f>D8-E8</f>
        <v/>
      </c>
      <c r="G8" s="90">
        <f>C8-F8</f>
        <v/>
      </c>
    </row>
    <row r="9" ht="15" customHeight="1" s="77">
      <c r="B9" s="76" t="n">
        <v>3</v>
      </c>
      <c r="C9" s="90">
        <f>G8</f>
        <v/>
      </c>
      <c r="D9" s="90">
        <f>PMT(0.065/12,360,-690000)*12</f>
        <v/>
      </c>
      <c r="E9" s="90">
        <f>CUMIPMT(0.065/12,360,690000,25,36,0)*-1</f>
        <v/>
      </c>
      <c r="F9" s="90">
        <f>D9-E9</f>
        <v/>
      </c>
      <c r="G9" s="90">
        <f>C9-F9</f>
        <v/>
      </c>
    </row>
    <row r="10" ht="15" customHeight="1" s="77">
      <c r="B10" s="76" t="n">
        <v>4</v>
      </c>
      <c r="C10" s="90">
        <f>G9</f>
        <v/>
      </c>
      <c r="D10" s="90">
        <f>PMT(0.065/12,360,-690000)*12</f>
        <v/>
      </c>
      <c r="E10" s="90">
        <f>CUMIPMT(0.065/12,360,690000,37,48,0)*-1</f>
        <v/>
      </c>
      <c r="F10" s="90">
        <f>D10-E10</f>
        <v/>
      </c>
      <c r="G10" s="90">
        <f>C10-F10</f>
        <v/>
      </c>
    </row>
    <row r="11" ht="15" customHeight="1" s="77">
      <c r="B11" s="76" t="n">
        <v>5</v>
      </c>
      <c r="C11" s="90">
        <f>G10</f>
        <v/>
      </c>
      <c r="D11" s="90">
        <f>PMT(0.065/12,360,-690000)*12</f>
        <v/>
      </c>
      <c r="E11" s="90">
        <f>CUMIPMT(0.065/12,360,690000,49,60,0)*-1</f>
        <v/>
      </c>
      <c r="F11" s="90">
        <f>D11-E11</f>
        <v/>
      </c>
      <c r="G11" s="90">
        <f>C11-F11</f>
        <v/>
      </c>
    </row>
    <row r="12" ht="15" customHeight="1" s="77">
      <c r="B12" s="105" t="inlineStr">
        <is>
          <t>5-Yr Total</t>
        </is>
      </c>
      <c r="D12" s="92">
        <f>SUM(D7:D11)</f>
        <v/>
      </c>
      <c r="E12" s="92">
        <f>SUM(E7:E11)</f>
        <v/>
      </c>
      <c r="F12" s="92">
        <f>SUM(F7:F11)</f>
        <v/>
      </c>
    </row>
  </sheetData>
  <mergeCells count="2">
    <mergeCell ref="B2:G2"/>
    <mergeCell ref="B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76" min="1" max="1"/>
    <col width="40" customWidth="1" style="76" min="2" max="2"/>
    <col width="13" customWidth="1" style="76" min="3" max="8"/>
  </cols>
  <sheetData>
    <row r="1"/>
    <row r="2" ht="19.5" customHeight="1" s="77">
      <c r="B2" s="88" t="inlineStr">
        <is>
          <t>5-YEAR CASH FLOW PRO FORMA</t>
        </is>
      </c>
    </row>
    <row r="3"/>
    <row r="4" ht="15" customHeight="1" s="77">
      <c r="C4" s="89" t="inlineStr">
        <is>
          <t>Year 1</t>
        </is>
      </c>
      <c r="D4" s="89" t="inlineStr">
        <is>
          <t>Year 2</t>
        </is>
      </c>
      <c r="E4" s="89" t="inlineStr">
        <is>
          <t>Year 3</t>
        </is>
      </c>
      <c r="F4" s="89" t="inlineStr">
        <is>
          <t>Year 4</t>
        </is>
      </c>
      <c r="G4" s="89" t="inlineStr">
        <is>
          <t>Year 5</t>
        </is>
      </c>
      <c r="H4" s="81" t="inlineStr">
        <is>
          <t>5-Yr Total</t>
        </is>
      </c>
    </row>
    <row r="5" ht="15" customHeight="1" s="77">
      <c r="B5" s="105" t="inlineStr">
        <is>
          <t>Gross Effective Rent (3.5% esc.)</t>
        </is>
      </c>
      <c r="C5" s="90" t="n">
        <v>90160</v>
      </c>
      <c r="D5" s="90" t="n">
        <v>92640</v>
      </c>
      <c r="E5" s="90">
        <f>ROUND(D5*1.035,0)</f>
        <v/>
      </c>
      <c r="F5" s="90">
        <f>ROUND(E5*1.035,0)</f>
        <v/>
      </c>
      <c r="G5" s="90">
        <f>ROUND(F5*1.035,0)</f>
        <v/>
      </c>
      <c r="H5" s="90">
        <f>SUM(C5:G5)</f>
        <v/>
      </c>
    </row>
    <row r="6" ht="15" customHeight="1" s="77">
      <c r="B6" s="76" t="inlineStr">
        <is>
          <t>Less: OpEx</t>
        </is>
      </c>
      <c r="C6" s="90" t="n">
        <v>24912</v>
      </c>
      <c r="D6" s="90" t="n">
        <v>24912</v>
      </c>
      <c r="E6" s="90" t="n">
        <v>24912</v>
      </c>
      <c r="F6" s="90" t="n">
        <v>24912</v>
      </c>
      <c r="G6" s="90" t="n">
        <v>24912</v>
      </c>
      <c r="H6" s="90">
        <f>SUM(C6:G6)</f>
        <v/>
      </c>
    </row>
    <row r="7" ht="15" customHeight="1" s="77">
      <c r="B7" s="96" t="inlineStr">
        <is>
          <t>Net Operating Income (NOI)</t>
        </is>
      </c>
      <c r="C7" s="97">
        <f>C5-C6</f>
        <v/>
      </c>
      <c r="D7" s="97">
        <f>D5-D6</f>
        <v/>
      </c>
      <c r="E7" s="97">
        <f>E5-E6</f>
        <v/>
      </c>
      <c r="F7" s="97">
        <f>F5-F6</f>
        <v/>
      </c>
      <c r="G7" s="97">
        <f>G5-G6</f>
        <v/>
      </c>
      <c r="H7" s="97">
        <f>SUM(C7:G7)</f>
        <v/>
      </c>
    </row>
    <row r="8" ht="15" customHeight="1" s="77">
      <c r="B8" s="76" t="inlineStr">
        <is>
          <t>Less: Debt Service</t>
        </is>
      </c>
      <c r="C8" s="90">
        <f>PMT(0.065/12,360,-690000)*12</f>
        <v/>
      </c>
      <c r="D8" s="90">
        <f>PMT(0.065/12,360,-690000)*12</f>
        <v/>
      </c>
      <c r="E8" s="90">
        <f>PMT(0.065/12,360,-690000)*12</f>
        <v/>
      </c>
      <c r="F8" s="90">
        <f>PMT(0.065/12,360,-690000)*12</f>
        <v/>
      </c>
      <c r="G8" s="90">
        <f>PMT(0.065/12,360,-690000)*12</f>
        <v/>
      </c>
      <c r="H8" s="90">
        <f>SUM(C8:G8)</f>
        <v/>
      </c>
    </row>
    <row r="9" ht="15" customHeight="1" s="77">
      <c r="B9" s="96" t="inlineStr">
        <is>
          <t>Cash Flow After Debt</t>
        </is>
      </c>
      <c r="C9" s="110">
        <f>C7-C8</f>
        <v/>
      </c>
      <c r="D9" s="110">
        <f>D7-D8</f>
        <v/>
      </c>
      <c r="E9" s="110">
        <f>E7-E8</f>
        <v/>
      </c>
      <c r="F9" s="110">
        <f>F7-F8</f>
        <v/>
      </c>
      <c r="G9" s="110">
        <f>G7-G8</f>
        <v/>
      </c>
      <c r="H9" s="110">
        <f>SUM(C9:G9)</f>
        <v/>
      </c>
    </row>
    <row r="10" ht="15" customHeight="1" s="77">
      <c r="B10" s="105" t="inlineStr">
        <is>
          <t>DSCR</t>
        </is>
      </c>
      <c r="C10" s="111">
        <f>C7/C8</f>
        <v/>
      </c>
      <c r="D10" s="111">
        <f>D7/D8</f>
        <v/>
      </c>
      <c r="E10" s="111">
        <f>E7/E8</f>
        <v/>
      </c>
      <c r="F10" s="111">
        <f>F7/F8</f>
        <v/>
      </c>
      <c r="G10" s="111">
        <f>G7/G8</f>
        <v/>
      </c>
    </row>
    <row r="11"/>
    <row r="12" ht="15" customHeight="1" s="77">
      <c r="B12" s="105" t="inlineStr">
        <is>
          <t>Loan Balance (End of Year)</t>
        </is>
      </c>
      <c r="C12" s="90">
        <f>690000-CUMPRINC(0.065/12,360,690000,1,12,0)*-1</f>
        <v/>
      </c>
      <c r="D12" s="90">
        <f>690000-CUMPRINC(0.065/12,360,690000,1,24,0)*-1</f>
        <v/>
      </c>
      <c r="E12" s="90">
        <f>690000-CUMPRINC(0.065/12,360,690000,1,36,0)*-1</f>
        <v/>
      </c>
      <c r="F12" s="90">
        <f>690000-CUMPRINC(0.065/12,360,690000,1,48,0)*-1</f>
        <v/>
      </c>
      <c r="G12" s="90">
        <f>690000-CUMPRINC(0.065/12,360,690000,1,60,0)*-1</f>
        <v/>
      </c>
    </row>
    <row r="13" ht="15" customHeight="1" s="77">
      <c r="B13" s="76" t="inlineStr">
        <is>
          <t>Principal Paid (Cumulative)</t>
        </is>
      </c>
      <c r="C13" s="90">
        <f>CUMPRINC(0.065/12,360,690000,1,12,0)*-1</f>
        <v/>
      </c>
      <c r="D13" s="90">
        <f>CUMPRINC(0.065/12,360,690000,1,24,0)*-1</f>
        <v/>
      </c>
      <c r="E13" s="90">
        <f>CUMPRINC(0.065/12,360,690000,1,36,0)*-1</f>
        <v/>
      </c>
      <c r="F13" s="90">
        <f>CUMPRINC(0.065/12,360,690000,1,48,0)*-1</f>
        <v/>
      </c>
      <c r="G13" s="90">
        <f>CUMPRINC(0.065/12,360,690000,1,60,0)*-1</f>
        <v/>
      </c>
    </row>
  </sheetData>
  <mergeCells count="1"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76" min="1" max="1"/>
    <col width="38" customWidth="1" style="76" min="2" max="2"/>
    <col width="16" customWidth="1" style="76" min="3" max="6"/>
  </cols>
  <sheetData>
    <row r="1"/>
    <row r="2" ht="19.5" customHeight="1" s="77">
      <c r="B2" s="88" t="inlineStr">
        <is>
          <t>EQUITY RETURNS ANALYSIS</t>
        </is>
      </c>
    </row>
    <row r="3"/>
    <row r="4" ht="15" customHeight="1" s="77">
      <c r="B4" s="81" t="inlineStr">
        <is>
          <t>DEAL ECONOMICS</t>
        </is>
      </c>
      <c r="C4" s="112" t="n"/>
      <c r="D4" s="112" t="n"/>
      <c r="E4" s="112" t="n"/>
      <c r="F4" s="82" t="n"/>
    </row>
    <row r="5" ht="15" customHeight="1" s="77">
      <c r="B5" s="76" t="inlineStr">
        <is>
          <t>Purchase Price</t>
        </is>
      </c>
      <c r="C5" s="90" t="n">
        <v>1000000</v>
      </c>
    </row>
    <row r="6" ht="15" customHeight="1" s="77">
      <c r="B6" s="76" t="inlineStr">
        <is>
          <t>Loan Amount</t>
        </is>
      </c>
      <c r="C6" s="90" t="n">
        <v>690000</v>
      </c>
    </row>
    <row r="7" ht="15" customHeight="1" s="77">
      <c r="B7" s="76" t="inlineStr">
        <is>
          <t>Equity Required</t>
        </is>
      </c>
      <c r="C7" s="90" t="n">
        <v>310000</v>
      </c>
    </row>
    <row r="8" ht="15" customHeight="1" s="77">
      <c r="B8" s="76" t="inlineStr">
        <is>
          <t>Closing Costs</t>
        </is>
      </c>
      <c r="C8" s="90" t="n">
        <v>27900</v>
      </c>
    </row>
    <row r="9" ht="15" customHeight="1" s="77">
      <c r="B9" s="76" t="inlineStr">
        <is>
          <t>Total Cash Invested</t>
        </is>
      </c>
      <c r="C9" s="90" t="n">
        <v>337900</v>
      </c>
    </row>
    <row r="10" ht="15" customHeight="1" s="77">
      <c r="B10" s="76" t="inlineStr">
        <is>
          <t>Year 1 Cash Flow After Debt</t>
        </is>
      </c>
      <c r="C10" s="90" t="n">
        <v>12989</v>
      </c>
    </row>
    <row r="11" ht="15" customHeight="1" s="77">
      <c r="B11" s="76" t="inlineStr">
        <is>
          <t>Stabilized Cash Flow After Debt</t>
        </is>
      </c>
      <c r="C11" s="90" t="n">
        <v>15469</v>
      </c>
    </row>
    <row r="12"/>
    <row r="13" ht="15" customHeight="1" s="77">
      <c r="B13" s="81" t="inlineStr">
        <is>
          <t>CASH-ON-CASH RETURN</t>
        </is>
      </c>
      <c r="C13" s="112" t="n"/>
      <c r="D13" s="112" t="n"/>
      <c r="E13" s="112" t="n"/>
      <c r="F13" s="82" t="n"/>
    </row>
    <row r="14" ht="15" customHeight="1" s="77">
      <c r="B14" s="76" t="inlineStr">
        <is>
          <t>Year 1 CoC (Y1 CF / Total Cash Invested)</t>
        </is>
      </c>
      <c r="C14" s="113">
        <f>C10/C9</f>
        <v/>
      </c>
    </row>
    <row r="15" ht="15" customHeight="1" s="77">
      <c r="B15" s="76" t="inlineStr">
        <is>
          <t>Stabilized CoC (Stab CF / Total Cash Invested)</t>
        </is>
      </c>
      <c r="C15" s="113">
        <f>C11/C9</f>
        <v/>
      </c>
    </row>
    <row r="16"/>
    <row r="17" ht="15" customHeight="1" s="77">
      <c r="B17" s="81" t="inlineStr">
        <is>
          <t>5-YEAR HOLD — TOTAL RETURN BY APPRECIATION SCENARIO</t>
        </is>
      </c>
      <c r="C17" s="112" t="n"/>
      <c r="D17" s="112" t="n"/>
      <c r="E17" s="112" t="n"/>
      <c r="F17" s="82" t="n"/>
    </row>
    <row r="18" ht="15" customHeight="1" s="77">
      <c r="C18" s="89" t="inlineStr">
        <is>
          <t>0% / yr</t>
        </is>
      </c>
      <c r="D18" s="89" t="inlineStr">
        <is>
          <t>3% / yr (Base)</t>
        </is>
      </c>
      <c r="E18" s="89" t="inlineStr">
        <is>
          <t>6% / yr</t>
        </is>
      </c>
    </row>
    <row r="19" ht="15" customHeight="1" s="77">
      <c r="B19" s="76" t="inlineStr">
        <is>
          <t>Exit Value (Year 5)</t>
        </is>
      </c>
      <c r="C19" s="90">
        <f>1000000*(1+0)^5</f>
        <v/>
      </c>
      <c r="D19" s="90">
        <f>1000000*(1+0.03)^5</f>
        <v/>
      </c>
      <c r="E19" s="90">
        <f>1000000*(1+0.06)^5</f>
        <v/>
      </c>
    </row>
    <row r="20" ht="15" customHeight="1" s="77">
      <c r="B20" s="76" t="inlineStr">
        <is>
          <t>Less: Transaction Costs (5%)</t>
        </is>
      </c>
      <c r="C20" s="90">
        <f>C19*0.05</f>
        <v/>
      </c>
      <c r="D20" s="90">
        <f>D19*0.05</f>
        <v/>
      </c>
      <c r="E20" s="90">
        <f>E19*0.05</f>
        <v/>
      </c>
    </row>
    <row r="21" ht="15" customHeight="1" s="77">
      <c r="B21" s="76" t="inlineStr">
        <is>
          <t>Less: Loan Balance (End Yr 5)</t>
        </is>
      </c>
      <c r="C21" s="90">
        <f>690000-CUMPRINC(0.065/12,360,690000,1,60,0)*-1</f>
        <v/>
      </c>
      <c r="D21" s="90">
        <f>690000-CUMPRINC(0.065/12,360,690000,1,60,0)*-1</f>
        <v/>
      </c>
      <c r="E21" s="90">
        <f>690000-CUMPRINC(0.065/12,360,690000,1,60,0)*-1</f>
        <v/>
      </c>
    </row>
    <row r="22" ht="15" customHeight="1" s="77">
      <c r="B22" s="105" t="inlineStr">
        <is>
          <t>Net Sale Proceeds</t>
        </is>
      </c>
      <c r="C22" s="106">
        <f>C19-C20-C21</f>
        <v/>
      </c>
      <c r="D22" s="106">
        <f>D19-D20-D21</f>
        <v/>
      </c>
      <c r="E22" s="106">
        <f>E19-E20-E21</f>
        <v/>
      </c>
    </row>
    <row r="23" ht="15" customHeight="1" s="77">
      <c r="B23" s="76" t="inlineStr">
        <is>
          <t>Plus: Cumulative CF (5-yr, escalating)</t>
        </is>
      </c>
      <c r="C23" s="90" t="n">
        <v>94777</v>
      </c>
      <c r="D23" s="90" t="n">
        <v>94777</v>
      </c>
      <c r="E23" s="90" t="n">
        <v>94777</v>
      </c>
    </row>
    <row r="24" ht="15" customHeight="1" s="77">
      <c r="B24" s="105" t="inlineStr">
        <is>
          <t>Total Distributions to Equity</t>
        </is>
      </c>
      <c r="C24" s="106">
        <f>C22+C23</f>
        <v/>
      </c>
      <c r="D24" s="106">
        <f>D22+D23</f>
        <v/>
      </c>
      <c r="E24" s="106">
        <f>E22+E23</f>
        <v/>
      </c>
    </row>
    <row r="25" ht="15" customHeight="1" s="77">
      <c r="B25" s="76" t="inlineStr">
        <is>
          <t>Less: Initial Cash Invested</t>
        </is>
      </c>
      <c r="C25" s="90" t="n">
        <v>337900</v>
      </c>
      <c r="D25" s="90" t="n">
        <v>337900</v>
      </c>
      <c r="E25" s="90" t="n">
        <v>337900</v>
      </c>
    </row>
    <row r="26" ht="15" customHeight="1" s="77">
      <c r="B26" s="96" t="inlineStr">
        <is>
          <t>Net Total Profit</t>
        </is>
      </c>
      <c r="C26" s="97">
        <f>C24-C25</f>
        <v/>
      </c>
      <c r="D26" s="97">
        <f>D24-D25</f>
        <v/>
      </c>
      <c r="E26" s="97">
        <f>E24-E25</f>
        <v/>
      </c>
    </row>
    <row r="27"/>
    <row r="28" ht="15" customHeight="1" s="77">
      <c r="B28" s="96" t="inlineStr">
        <is>
          <t>Equity Multiple</t>
        </is>
      </c>
      <c r="C28" s="109">
        <f>C24/C25</f>
        <v/>
      </c>
      <c r="D28" s="109">
        <f>D24/D25</f>
        <v/>
      </c>
      <c r="E28" s="109">
        <f>E24/E25</f>
        <v/>
      </c>
    </row>
    <row r="29" ht="15" customHeight="1" s="77">
      <c r="B29" s="96" t="inlineStr">
        <is>
          <t>Approx 5-Yr CAGR (IRR proxy)</t>
        </is>
      </c>
      <c r="C29" s="114">
        <f>(C24/C25)^(1/5)-1</f>
        <v/>
      </c>
      <c r="D29" s="114">
        <f>(D24/D25)^(1/5)-1</f>
        <v/>
      </c>
      <c r="E29" s="114">
        <f>(E24/E25)^(1/5)-1</f>
        <v/>
      </c>
    </row>
  </sheetData>
  <mergeCells count="4">
    <mergeCell ref="B2:F2"/>
    <mergeCell ref="B4:F4"/>
    <mergeCell ref="B17:F17"/>
    <mergeCell ref="B13:F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76" min="1" max="1"/>
    <col width="26" customWidth="1" style="76" min="2" max="2"/>
  </cols>
  <sheetData>
    <row r="1"/>
    <row r="2" ht="19.5" customHeight="1" s="77">
      <c r="B2" s="88" t="inlineStr">
        <is>
          <t>SENSITIVITY ANALYSIS</t>
        </is>
      </c>
    </row>
    <row r="3"/>
    <row r="4" ht="15" customHeight="1" s="77">
      <c r="B4" s="96" t="inlineStr">
        <is>
          <t>DSCR Sensitivity: NOI Range × Interest Rate</t>
        </is>
      </c>
    </row>
    <row r="5"/>
    <row r="6" ht="15" customHeight="1" s="77">
      <c r="B6" s="89" t="inlineStr">
        <is>
          <t>NOI ↓ / Rate →</t>
        </is>
      </c>
      <c r="C6" s="115" t="n">
        <v>0.055</v>
      </c>
      <c r="D6" s="115" t="n">
        <v>0.06</v>
      </c>
      <c r="E6" s="115" t="n">
        <v>0.065</v>
      </c>
      <c r="F6" s="115" t="n">
        <v>0.07000000000000001</v>
      </c>
      <c r="G6" s="115" t="n">
        <v>0.075</v>
      </c>
    </row>
    <row r="7" ht="15" customHeight="1" s="77">
      <c r="B7" s="92" t="n">
        <v>60000</v>
      </c>
      <c r="C7" s="116">
        <f>60000/(PMT(0.055/12,360,-690000)*12)</f>
        <v/>
      </c>
      <c r="D7" s="116">
        <f>60000/(PMT(0.06/12,360,-690000)*12)</f>
        <v/>
      </c>
      <c r="E7" s="116">
        <f>60000/(PMT(0.065/12,360,-690000)*12)</f>
        <v/>
      </c>
      <c r="F7" s="116">
        <f>60000/(PMT(0.07/12,360,-690000)*12)</f>
        <v/>
      </c>
      <c r="G7" s="116">
        <f>60000/(PMT(0.075/12,360,-690000)*12)</f>
        <v/>
      </c>
    </row>
    <row r="8" ht="15" customHeight="1" s="77">
      <c r="B8" s="92" t="n">
        <v>65000</v>
      </c>
      <c r="C8" s="116">
        <f>65000/(PMT(0.055/12,360,-690000)*12)</f>
        <v/>
      </c>
      <c r="D8" s="116">
        <f>65000/(PMT(0.06/12,360,-690000)*12)</f>
        <v/>
      </c>
      <c r="E8" s="116">
        <f>65000/(PMT(0.065/12,360,-690000)*12)</f>
        <v/>
      </c>
      <c r="F8" s="116">
        <f>65000/(PMT(0.07/12,360,-690000)*12)</f>
        <v/>
      </c>
      <c r="G8" s="116">
        <f>65000/(PMT(0.075/12,360,-690000)*12)</f>
        <v/>
      </c>
    </row>
    <row r="9" ht="15" customHeight="1" s="77">
      <c r="B9" s="92" t="n">
        <v>67728</v>
      </c>
      <c r="C9" s="116">
        <f>67728/(PMT(0.055/12,360,-690000)*12)</f>
        <v/>
      </c>
      <c r="D9" s="116">
        <f>67728/(PMT(0.06/12,360,-690000)*12)</f>
        <v/>
      </c>
      <c r="E9" s="117">
        <f>67728/(PMT(0.065/12,360,-690000)*12)</f>
        <v/>
      </c>
      <c r="F9" s="116">
        <f>67728/(PMT(0.07/12,360,-690000)*12)</f>
        <v/>
      </c>
      <c r="G9" s="116">
        <f>67728/(PMT(0.075/12,360,-690000)*12)</f>
        <v/>
      </c>
    </row>
    <row r="10" ht="15" customHeight="1" s="77">
      <c r="B10" s="92" t="n">
        <v>70000</v>
      </c>
      <c r="C10" s="116">
        <f>70000/(PMT(0.055/12,360,-690000)*12)</f>
        <v/>
      </c>
      <c r="D10" s="116">
        <f>70000/(PMT(0.06/12,360,-690000)*12)</f>
        <v/>
      </c>
      <c r="E10" s="116">
        <f>70000/(PMT(0.065/12,360,-690000)*12)</f>
        <v/>
      </c>
      <c r="F10" s="116">
        <f>70000/(PMT(0.07/12,360,-690000)*12)</f>
        <v/>
      </c>
      <c r="G10" s="116">
        <f>70000/(PMT(0.075/12,360,-690000)*12)</f>
        <v/>
      </c>
    </row>
    <row r="11" ht="15" customHeight="1" s="77">
      <c r="B11" s="92" t="n">
        <v>75000</v>
      </c>
      <c r="C11" s="116">
        <f>75000/(PMT(0.055/12,360,-690000)*12)</f>
        <v/>
      </c>
      <c r="D11" s="116">
        <f>75000/(PMT(0.06/12,360,-690000)*12)</f>
        <v/>
      </c>
      <c r="E11" s="116">
        <f>75000/(PMT(0.065/12,360,-690000)*12)</f>
        <v/>
      </c>
      <c r="F11" s="116">
        <f>75000/(PMT(0.07/12,360,-690000)*12)</f>
        <v/>
      </c>
      <c r="G11" s="116">
        <f>75000/(PMT(0.075/12,360,-690000)*12)</f>
        <v/>
      </c>
    </row>
    <row r="12" ht="15" customHeight="1" s="77">
      <c r="B12" s="92" t="n">
        <v>80000</v>
      </c>
      <c r="C12" s="116">
        <f>80000/(PMT(0.055/12,360,-690000)*12)</f>
        <v/>
      </c>
      <c r="D12" s="116">
        <f>80000/(PMT(0.06/12,360,-690000)*12)</f>
        <v/>
      </c>
      <c r="E12" s="116">
        <f>80000/(PMT(0.065/12,360,-690000)*12)</f>
        <v/>
      </c>
      <c r="F12" s="116">
        <f>80000/(PMT(0.07/12,360,-690000)*12)</f>
        <v/>
      </c>
      <c r="G12" s="116">
        <f>80000/(PMT(0.075/12,360,-690000)*12)</f>
        <v/>
      </c>
    </row>
    <row r="13"/>
    <row r="14"/>
    <row r="15" ht="15" customHeight="1" s="77">
      <c r="B15" s="96" t="inlineStr">
        <is>
          <t>Equity Multiple Sensitivity: Appreciation × Hold Period</t>
        </is>
      </c>
    </row>
    <row r="16"/>
    <row r="17" ht="15" customHeight="1" s="77">
      <c r="B17" s="89" t="inlineStr">
        <is>
          <t>Apprec. ↓ / Hold (yrs) →</t>
        </is>
      </c>
      <c r="C17" s="118" t="n">
        <v>3</v>
      </c>
      <c r="D17" s="118" t="n">
        <v>5</v>
      </c>
      <c r="E17" s="118" t="n">
        <v>7</v>
      </c>
      <c r="F17" s="118" t="n">
        <v>10</v>
      </c>
    </row>
    <row r="18" ht="15" customHeight="1" s="77">
      <c r="B18" s="93" t="n">
        <v>0</v>
      </c>
      <c r="C18" s="116">
        <f>((1000000*(1+0)^3*0.95 - (690000-CUMPRINC(0.065/12,360,690000,1,36,0)*-1)) + (15469*3 + 1500*3*(3-1)/2)) / 337900</f>
        <v/>
      </c>
      <c r="D18" s="116">
        <f>((1000000*(1+0)^5*0.95 - (690000-CUMPRINC(0.065/12,360,690000,1,60,0)*-1)) + (15469*5 + 1500*5*(5-1)/2)) / 337900</f>
        <v/>
      </c>
      <c r="E18" s="116">
        <f>((1000000*(1+0)^7*0.95 - (690000-CUMPRINC(0.065/12,360,690000,1,84,0)*-1)) + (15469*7 + 1500*7*(7-1)/2)) / 337900</f>
        <v/>
      </c>
      <c r="F18" s="116">
        <f>((1000000*(1+0)^10*0.95 - (690000-CUMPRINC(0.065/12,360,690000,1,120,0)*-1)) + (15469*10 + 1500*10*(10-1)/2)) / 337900</f>
        <v/>
      </c>
    </row>
    <row r="19" ht="15" customHeight="1" s="77">
      <c r="B19" s="93" t="n">
        <v>0.02</v>
      </c>
      <c r="C19" s="116">
        <f>((1000000*(1+0.02)^3*0.95 - (690000-CUMPRINC(0.065/12,360,690000,1,36,0)*-1)) + (15469*3 + 1500*3*(3-1)/2)) / 337900</f>
        <v/>
      </c>
      <c r="D19" s="116">
        <f>((1000000*(1+0.02)^5*0.95 - (690000-CUMPRINC(0.065/12,360,690000,1,60,0)*-1)) + (15469*5 + 1500*5*(5-1)/2)) / 337900</f>
        <v/>
      </c>
      <c r="E19" s="116">
        <f>((1000000*(1+0.02)^7*0.95 - (690000-CUMPRINC(0.065/12,360,690000,1,84,0)*-1)) + (15469*7 + 1500*7*(7-1)/2)) / 337900</f>
        <v/>
      </c>
      <c r="F19" s="116">
        <f>((1000000*(1+0.02)^10*0.95 - (690000-CUMPRINC(0.065/12,360,690000,1,120,0)*-1)) + (15469*10 + 1500*10*(10-1)/2)) / 337900</f>
        <v/>
      </c>
    </row>
    <row r="20" ht="15" customHeight="1" s="77">
      <c r="B20" s="93" t="n">
        <v>0.03</v>
      </c>
      <c r="C20" s="116">
        <f>((1000000*(1+0.03)^3*0.95 - (690000-CUMPRINC(0.065/12,360,690000,1,36,0)*-1)) + (15469*3 + 1500*3*(3-1)/2)) / 337900</f>
        <v/>
      </c>
      <c r="D20" s="117">
        <f>((1000000*(1+0.03)^5*0.95 - (690000-CUMPRINC(0.065/12,360,690000,1,60,0)*-1)) + (15469*5 + 1500*5*(5-1)/2)) / 337900</f>
        <v/>
      </c>
      <c r="E20" s="116">
        <f>((1000000*(1+0.03)^7*0.95 - (690000-CUMPRINC(0.065/12,360,690000,1,84,0)*-1)) + (15469*7 + 1500*7*(7-1)/2)) / 337900</f>
        <v/>
      </c>
      <c r="F20" s="116">
        <f>((1000000*(1+0.03)^10*0.95 - (690000-CUMPRINC(0.065/12,360,690000,1,120,0)*-1)) + (15469*10 + 1500*10*(10-1)/2)) / 337900</f>
        <v/>
      </c>
    </row>
    <row r="21" ht="15" customHeight="1" s="77">
      <c r="B21" s="93" t="n">
        <v>0.04</v>
      </c>
      <c r="C21" s="116">
        <f>((1000000*(1+0.04)^3*0.95 - (690000-CUMPRINC(0.065/12,360,690000,1,36,0)*-1)) + (15469*3 + 1500*3*(3-1)/2)) / 337900</f>
        <v/>
      </c>
      <c r="D21" s="116">
        <f>((1000000*(1+0.04)^5*0.95 - (690000-CUMPRINC(0.065/12,360,690000,1,60,0)*-1)) + (15469*5 + 1500*5*(5-1)/2)) / 337900</f>
        <v/>
      </c>
      <c r="E21" s="116">
        <f>((1000000*(1+0.04)^7*0.95 - (690000-CUMPRINC(0.065/12,360,690000,1,84,0)*-1)) + (15469*7 + 1500*7*(7-1)/2)) / 337900</f>
        <v/>
      </c>
      <c r="F21" s="116">
        <f>((1000000*(1+0.04)^10*0.95 - (690000-CUMPRINC(0.065/12,360,690000,1,120,0)*-1)) + (15469*10 + 1500*10*(10-1)/2)) / 337900</f>
        <v/>
      </c>
    </row>
    <row r="22" ht="15" customHeight="1" s="77">
      <c r="B22" s="93" t="n">
        <v>0.06</v>
      </c>
      <c r="C22" s="116">
        <f>((1000000*(1+0.06)^3*0.95 - (690000-CUMPRINC(0.065/12,360,690000,1,36,0)*-1)) + (15469*3 + 1500*3*(3-1)/2)) / 337900</f>
        <v/>
      </c>
      <c r="D22" s="116">
        <f>((1000000*(1+0.06)^5*0.95 - (690000-CUMPRINC(0.065/12,360,690000,1,60,0)*-1)) + (15469*5 + 1500*5*(5-1)/2)) / 337900</f>
        <v/>
      </c>
      <c r="E22" s="116">
        <f>((1000000*(1+0.06)^7*0.95 - (690000-CUMPRINC(0.065/12,360,690000,1,84,0)*-1)) + (15469*7 + 1500*7*(7-1)/2)) / 337900</f>
        <v/>
      </c>
      <c r="F22" s="116">
        <f>((1000000*(1+0.06)^10*0.95 - (690000-CUMPRINC(0.065/12,360,690000,1,120,0)*-1)) + (15469*10 + 1500*10*(10-1)/2)) / 337900</f>
        <v/>
      </c>
    </row>
  </sheetData>
  <mergeCells count="1"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76" min="1" max="1"/>
    <col width="38" customWidth="1" style="76" min="2" max="2"/>
    <col width="16" customWidth="1" style="76" min="3" max="6"/>
  </cols>
  <sheetData>
    <row r="1"/>
    <row r="2" ht="19.5" customHeight="1" s="77">
      <c r="B2" s="88" t="inlineStr">
        <is>
          <t>SCENARIO ANALYSIS</t>
        </is>
      </c>
    </row>
    <row r="3"/>
    <row r="4" ht="15" customHeight="1" s="77">
      <c r="C4" s="89" t="inlineStr">
        <is>
          <t>Downside</t>
        </is>
      </c>
      <c r="D4" s="89" t="inlineStr">
        <is>
          <t>Base</t>
        </is>
      </c>
      <c r="E4" s="89" t="inlineStr">
        <is>
          <t>Upside</t>
        </is>
      </c>
    </row>
    <row r="5" ht="15" customHeight="1" s="77">
      <c r="B5" s="119" t="inlineStr">
        <is>
          <t>Annual Rent Escalation</t>
        </is>
      </c>
      <c r="C5" s="76" t="inlineStr">
        <is>
          <t>0.0%</t>
        </is>
      </c>
      <c r="D5" s="96" t="inlineStr">
        <is>
          <t>3.5% (contractual)</t>
        </is>
      </c>
      <c r="E5" s="76" t="inlineStr">
        <is>
          <t>3.5%+ Pass-through</t>
        </is>
      </c>
    </row>
    <row r="6" ht="15" customHeight="1" s="77">
      <c r="B6" s="119" t="inlineStr">
        <is>
          <t>Stabilized NOI</t>
        </is>
      </c>
      <c r="C6" s="76" t="inlineStr">
        <is>
          <t>$58,000</t>
        </is>
      </c>
      <c r="D6" s="96" t="inlineStr">
        <is>
          <t>$67,728</t>
        </is>
      </c>
      <c r="E6" s="76" t="inlineStr">
        <is>
          <t>$75,000</t>
        </is>
      </c>
    </row>
    <row r="7" ht="15" customHeight="1" s="77">
      <c r="B7" s="119" t="inlineStr">
        <is>
          <t>Holding Period</t>
        </is>
      </c>
      <c r="C7" s="76" t="inlineStr">
        <is>
          <t>10 years</t>
        </is>
      </c>
      <c r="D7" s="96" t="inlineStr">
        <is>
          <t>5 years</t>
        </is>
      </c>
      <c r="E7" s="76" t="inlineStr">
        <is>
          <t>5 years (refi at Yr 1)</t>
        </is>
      </c>
    </row>
    <row r="8" ht="15" customHeight="1" s="77">
      <c r="B8" s="119" t="inlineStr">
        <is>
          <t>Annual Appreciation</t>
        </is>
      </c>
      <c r="C8" s="76" t="inlineStr">
        <is>
          <t>0%</t>
        </is>
      </c>
      <c r="D8" s="96" t="inlineStr">
        <is>
          <t>3%</t>
        </is>
      </c>
      <c r="E8" s="76" t="inlineStr">
        <is>
          <t>Plus entitlement uplift</t>
        </is>
      </c>
    </row>
    <row r="9" ht="15" customHeight="1" s="77">
      <c r="B9" s="119" t="inlineStr">
        <is>
          <t>Exit Cap Rate</t>
        </is>
      </c>
      <c r="C9" s="76" t="inlineStr">
        <is>
          <t>8.0%</t>
        </is>
      </c>
      <c r="D9" s="96" t="inlineStr">
        <is>
          <t>7.0%</t>
        </is>
      </c>
      <c r="E9" s="76" t="inlineStr">
        <is>
          <t>6.0%</t>
        </is>
      </c>
    </row>
    <row r="10" ht="15" customHeight="1" s="77">
      <c r="B10" s="119" t="inlineStr">
        <is>
          <t>Year 1 DSCR</t>
        </is>
      </c>
      <c r="C10" s="76" t="inlineStr">
        <is>
          <t>1.10×</t>
        </is>
      </c>
      <c r="D10" s="96" t="inlineStr">
        <is>
          <t>1.25×</t>
        </is>
      </c>
      <c r="E10" s="76" t="inlineStr">
        <is>
          <t>1.40×</t>
        </is>
      </c>
    </row>
    <row r="11" ht="15" customHeight="1" s="77">
      <c r="B11" s="119" t="inlineStr">
        <is>
          <t>Stabilized DSCR</t>
        </is>
      </c>
      <c r="C11" s="76" t="inlineStr">
        <is>
          <t>1.10×</t>
        </is>
      </c>
      <c r="D11" s="96" t="inlineStr">
        <is>
          <t>1.30×</t>
        </is>
      </c>
      <c r="E11" s="76" t="inlineStr">
        <is>
          <t>1.55×</t>
        </is>
      </c>
    </row>
    <row r="12" ht="15" customHeight="1" s="77">
      <c r="B12" s="119" t="inlineStr">
        <is>
          <t>5-Year Equity Multiple</t>
        </is>
      </c>
      <c r="C12" s="76" t="inlineStr">
        <is>
          <t>1.05×</t>
        </is>
      </c>
      <c r="D12" s="96" t="inlineStr">
        <is>
          <t>1.63×</t>
        </is>
      </c>
      <c r="E12" s="76" t="inlineStr">
        <is>
          <t>2.50×+</t>
        </is>
      </c>
    </row>
    <row r="13" ht="15" customHeight="1" s="77">
      <c r="B13" s="119" t="inlineStr">
        <is>
          <t>5-Year Approx IRR</t>
        </is>
      </c>
      <c r="C13" s="76" t="inlineStr">
        <is>
          <t>1.0%</t>
        </is>
      </c>
      <c r="D13" s="96" t="inlineStr">
        <is>
          <t>10.2%</t>
        </is>
      </c>
      <c r="E13" s="76" t="inlineStr">
        <is>
          <t>20%+</t>
        </is>
      </c>
    </row>
    <row r="14" ht="15" customHeight="1" s="77">
      <c r="B14" s="119" t="inlineStr">
        <is>
          <t>Key Driver</t>
        </is>
      </c>
      <c r="C14" s="76" t="inlineStr">
        <is>
          <t>Tenant default / no rent escalation</t>
        </is>
      </c>
      <c r="D14" s="96" t="inlineStr">
        <is>
          <t>Lease performs, market grows</t>
        </is>
      </c>
      <c r="E14" s="76" t="inlineStr">
        <is>
          <t>Entitlements approved &amp; refi out</t>
        </is>
      </c>
    </row>
    <row r="15"/>
    <row r="16"/>
    <row r="17" ht="15" customHeight="1" s="77">
      <c r="B17" s="81" t="inlineStr">
        <is>
          <t>KEY RISK MITIGANTS</t>
        </is>
      </c>
      <c r="C17" s="112" t="n"/>
      <c r="D17" s="112" t="n"/>
      <c r="E17" s="82" t="n"/>
    </row>
    <row r="18" ht="27.75" customHeight="1" s="77">
      <c r="B18" s="120" t="inlineStr">
        <is>
          <t>• Augustine's Salumeria has 4 years 7 months continuous occupancy; Michelin-recognized; opened successful 2nd concept (Vida) in Oct 2024.</t>
        </is>
      </c>
    </row>
    <row r="19" ht="27.75" customHeight="1" s="77">
      <c r="B19" s="120" t="inlineStr">
        <is>
          <t>• True NNN lease places nearly all OpEx on Tenant (roof, HVAC, structural, utilities, insurance, tax increases).</t>
        </is>
      </c>
    </row>
    <row r="20" ht="27.75" customHeight="1" s="77">
      <c r="B20" s="120" t="inlineStr">
        <is>
          <t>• Tenant security deposit ~$14,918 (2 months base rent + replenishment) provides re-let cushion.</t>
        </is>
      </c>
    </row>
    <row r="21" ht="27.75" customHeight="1" s="77">
      <c r="B21" s="120" t="inlineStr">
        <is>
          <t>• Estimated re-let timeline: 3-6 months turnkey relet to comparable restaurant operator (Walk Score 96).</t>
        </is>
      </c>
    </row>
    <row r="22" ht="27.75" customHeight="1" s="77">
      <c r="B22" s="120" t="inlineStr">
        <is>
          <t>• Ponce Bank loan: no prepayment penalty on internal refi; 1-yr seasoning for refi to new value (entitlement upside path).</t>
        </is>
      </c>
    </row>
    <row r="23" ht="27.75" customHeight="1" s="77">
      <c r="B23" s="120" t="inlineStr">
        <is>
          <t>• Camelot Realty Group manages the asset post-closing — owner-operator alignment.</t>
        </is>
      </c>
    </row>
    <row r="24" ht="27.75" customHeight="1" s="77">
      <c r="B24" s="120" t="inlineStr">
        <is>
          <t>• Personal Guarantor liquidity (David A. Goldoff): $330,743 across personal/business accounts = 4.18× coverage on 10-mo PITI.</t>
        </is>
      </c>
    </row>
  </sheetData>
  <mergeCells count="9">
    <mergeCell ref="B17:E17"/>
    <mergeCell ref="B18:E18"/>
    <mergeCell ref="B23:E23"/>
    <mergeCell ref="B2:F2"/>
    <mergeCell ref="B21:E21"/>
    <mergeCell ref="B24:E24"/>
    <mergeCell ref="B19:E19"/>
    <mergeCell ref="B20:E20"/>
    <mergeCell ref="B22:E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76" min="1" max="1"/>
    <col width="36" customWidth="1" style="76" min="2" max="2"/>
    <col width="16" customWidth="1" style="76" min="3" max="3"/>
    <col width="18" customWidth="1" style="76" min="4" max="4"/>
    <col width="36" customWidth="1" style="76" min="5" max="5"/>
    <col width="18" customWidth="1" style="76" min="6" max="6"/>
  </cols>
  <sheetData>
    <row r="1"/>
    <row r="2" ht="19.7" customHeight="1" s="77">
      <c r="B2" s="88" t="inlineStr">
        <is>
          <t>FOUR-PHASE CAPITAL PLAN — 5-YEAR HORIZON</t>
        </is>
      </c>
    </row>
    <row r="3"/>
    <row r="4" ht="15" customHeight="1" s="77">
      <c r="B4" s="98" t="inlineStr">
        <is>
          <t>Each phase is a decision gate. Capital deployed only if prior phase results justify next phase. Cash flow from the property + sponsor reserves fund each gate. Refinance scenarios in Tabs 11 &amp; 12 monetize entitlement and construction value.</t>
        </is>
      </c>
    </row>
    <row r="5"/>
    <row r="6" ht="31.5" customHeight="1" s="77">
      <c r="B6" s="121" t="inlineStr">
        <is>
          <t>Phase</t>
        </is>
      </c>
      <c r="C6" s="121" t="inlineStr">
        <is>
          <t>Timing</t>
        </is>
      </c>
      <c r="D6" s="121" t="inlineStr">
        <is>
          <t>Capital Deployed</t>
        </is>
      </c>
      <c r="E6" s="121" t="inlineStr">
        <is>
          <t>Key Decision Output</t>
        </is>
      </c>
      <c r="F6" s="121" t="inlineStr">
        <is>
          <t>Total Cost</t>
        </is>
      </c>
    </row>
    <row r="7" ht="27.75" customHeight="1" s="77">
      <c r="B7" s="122" t="inlineStr">
        <is>
          <t>PHASE 1: ACQUISITION</t>
        </is>
      </c>
      <c r="C7" s="100" t="inlineStr">
        <is>
          <t>Closing (Q3 2026)</t>
        </is>
      </c>
      <c r="D7" s="100" t="inlineStr">
        <is>
          <t>Equity + Ponce Loan</t>
        </is>
      </c>
      <c r="E7" s="123" t="inlineStr">
        <is>
          <t>Asset secured. Tenant in place. Stabilized NOI ~$67.7K. DSCR 1.30×.</t>
        </is>
      </c>
      <c r="F7" s="110" t="n">
        <v>337900</v>
      </c>
    </row>
    <row r="8" ht="18" customHeight="1" s="77">
      <c r="B8" s="86" t="inlineStr">
        <is>
          <t xml:space="preserve">    Purchase Price</t>
        </is>
      </c>
      <c r="E8" s="124" t="inlineStr">
        <is>
          <t>$1,000,000 paid to seller (less $166K deposits)</t>
        </is>
      </c>
    </row>
    <row r="9" ht="18" customHeight="1" s="77">
      <c r="B9" s="86" t="inlineStr">
        <is>
          <t xml:space="preserve">    Closing Costs</t>
        </is>
      </c>
      <c r="E9" s="124" t="inlineStr">
        <is>
          <t>Appraisal + Title + Legal + Survey + Recording + Origination</t>
        </is>
      </c>
    </row>
    <row r="10" ht="18" customHeight="1" s="77">
      <c r="B10" s="86" t="n"/>
      <c r="E10" s="124" t="n"/>
    </row>
    <row r="11" ht="27.75" customHeight="1" s="77">
      <c r="B11" s="122" t="inlineStr">
        <is>
          <t>PHASE 2: ZONING ANALYSIS</t>
        </is>
      </c>
      <c r="C11" s="100" t="inlineStr">
        <is>
          <t>Months 1-3 post-close</t>
        </is>
      </c>
      <c r="D11" s="100" t="inlineStr">
        <is>
          <t>Operating cash flow + sponsor</t>
        </is>
      </c>
      <c r="E11" s="123" t="inlineStr">
        <is>
          <t>Feasibility confirms 3-story as-of-right office vs. variance path. Massing study + zoning verification letter.</t>
        </is>
      </c>
      <c r="F11" s="110" t="n">
        <v>18500</v>
      </c>
    </row>
    <row r="12" ht="18" customHeight="1" s="77">
      <c r="B12" s="86" t="inlineStr">
        <is>
          <t xml:space="preserve">    EnviroSpace Phase 1A (zoning + massing)</t>
        </is>
      </c>
      <c r="E12" s="124" t="inlineStr">
        <is>
          <t>Per existing $13,500 engagement (already $5K deposit paid)</t>
        </is>
      </c>
    </row>
    <row r="13" ht="18" customHeight="1" s="77">
      <c r="B13" s="86" t="inlineStr">
        <is>
          <t xml:space="preserve">    Zoning Attorney</t>
        </is>
      </c>
      <c r="E13" s="124" t="inlineStr">
        <is>
          <t>Verify C-2 as-of-right interpretation; 3-floor office</t>
        </is>
      </c>
    </row>
    <row r="14" ht="18" customHeight="1" s="77">
      <c r="B14" s="86" t="inlineStr">
        <is>
          <t xml:space="preserve">    Misc filings / surveys</t>
        </is>
      </c>
      <c r="E14" s="124" t="inlineStr">
        <is>
          <t>Updated survey, building dept research</t>
        </is>
      </c>
    </row>
    <row r="15" ht="18" customHeight="1" s="77">
      <c r="B15" s="86" t="n"/>
      <c r="E15" s="124" t="n"/>
    </row>
    <row r="16" ht="27.75" customHeight="1" s="77">
      <c r="B16" s="122" t="inlineStr">
        <is>
          <t>PHASE 3: ENTITLEMENTS &amp;amp; PERMITS</t>
        </is>
      </c>
      <c r="C16" s="100" t="inlineStr">
        <is>
          <t>Months 4-18</t>
        </is>
      </c>
      <c r="D16" s="100" t="inlineStr">
        <is>
          <t>Operating CF + Phase 2 refi proceeds</t>
        </is>
      </c>
      <c r="E16" s="123" t="inlineStr">
        <is>
          <t>Full architectural plans, special permit (restaurant cure), planning board approval, building permits ready to pull. Approved DRAWINGS = appraisable entitlement value.</t>
        </is>
      </c>
      <c r="F16" s="110" t="n">
        <v>144500</v>
      </c>
    </row>
    <row r="17" ht="18" customHeight="1" s="77">
      <c r="B17" s="86" t="inlineStr">
        <is>
          <t xml:space="preserve">    Architectural plans (3-story office MU)</t>
        </is>
      </c>
      <c r="E17" s="124" t="inlineStr">
        <is>
          <t>Full DD set including structural, MEP, life safety</t>
        </is>
      </c>
    </row>
    <row r="18" ht="18" customHeight="1" s="77">
      <c r="B18" s="86" t="inlineStr">
        <is>
          <t xml:space="preserve">    Engineering (structural / MEP)</t>
        </is>
      </c>
      <c r="E18" s="124" t="inlineStr">
        <is>
          <t>Required for permit submission</t>
        </is>
      </c>
    </row>
    <row r="19" ht="18" customHeight="1" s="77">
      <c r="B19" s="86" t="inlineStr">
        <is>
          <t xml:space="preserve">    Special Permit (restaurant cure)</t>
        </is>
      </c>
      <c r="E19" s="124" t="inlineStr">
        <is>
          <t>Already required regardless; folded in here</t>
        </is>
      </c>
    </row>
    <row r="20" ht="18" customHeight="1" s="77">
      <c r="B20" s="86" t="inlineStr">
        <is>
          <t xml:space="preserve">    Public hearing / planning board</t>
        </is>
      </c>
      <c r="E20" s="124" t="inlineStr">
        <is>
          <t>Notice fees, traffic / parking study</t>
        </is>
      </c>
    </row>
    <row r="21" ht="18" customHeight="1" s="77">
      <c r="B21" s="86" t="inlineStr">
        <is>
          <t xml:space="preserve">    Legal — entitlements counsel</t>
        </is>
      </c>
      <c r="E21" s="124" t="inlineStr">
        <is>
          <t>Land-use attorney for hearings &amp; approvals</t>
        </is>
      </c>
    </row>
    <row r="22" ht="18" customHeight="1" s="77">
      <c r="B22" s="86" t="inlineStr">
        <is>
          <t xml:space="preserve">    Environmental + survey updates</t>
        </is>
      </c>
      <c r="E22" s="124" t="inlineStr">
        <is>
          <t>Phase II if triggered (Ponce did NOT require Phase I)</t>
        </is>
      </c>
    </row>
    <row r="23" ht="18" customHeight="1" s="77">
      <c r="B23" s="86" t="n"/>
      <c r="E23" s="124" t="n"/>
    </row>
    <row r="24" ht="27.75" customHeight="1" s="77">
      <c r="B24" s="122" t="inlineStr">
        <is>
          <t>PHASE 4: REAR RESTAURANT ADDITION</t>
        </is>
      </c>
      <c r="C24" s="100" t="inlineStr">
        <is>
          <t>Months 18-30 (if Tenant elects)</t>
        </is>
      </c>
      <c r="D24" s="100" t="inlineStr">
        <is>
          <t>Construction loan or refi proceeds</t>
        </is>
      </c>
      <c r="E24" s="123" t="inlineStr">
        <is>
          <t>~800 SF rear addition. Restaurant rent step from $7,720/mo to ~$11,000/mo. Generates +$40K/yr NOI uplift = ~$670K added value at 6% cap.</t>
        </is>
      </c>
      <c r="F24" s="110" t="n">
        <v>407000</v>
      </c>
    </row>
    <row r="25" ht="18" customHeight="1" s="77">
      <c r="B25" s="86" t="inlineStr">
        <is>
          <t xml:space="preserve">    Construction (800 SF @ $375/SF)</t>
        </is>
      </c>
      <c r="E25" s="124" t="inlineStr">
        <is>
          <t>Hard cost — full kitchen extension + dining area</t>
        </is>
      </c>
    </row>
    <row r="26" ht="18" customHeight="1" s="77">
      <c r="B26" s="86" t="inlineStr">
        <is>
          <t xml:space="preserve">    Architect + permits (addition)</t>
        </is>
      </c>
      <c r="E26" s="124" t="inlineStr">
        <is>
          <t>Soft costs</t>
        </is>
      </c>
    </row>
    <row r="27" ht="18" customHeight="1" s="77">
      <c r="B27" s="86" t="inlineStr">
        <is>
          <t xml:space="preserve">    Tenant Improvement contribution</t>
        </is>
      </c>
      <c r="E27" s="124" t="inlineStr">
        <is>
          <t>Negotiated portion paid by landlord under amended lease</t>
        </is>
      </c>
    </row>
    <row r="28" ht="18" customHeight="1" s="77">
      <c r="B28" s="86" t="inlineStr">
        <is>
          <t xml:space="preserve">    Contingency (10%)</t>
        </is>
      </c>
      <c r="E28" s="124" t="inlineStr">
        <is>
          <t>Standard construction contingency</t>
        </is>
      </c>
    </row>
    <row r="29"/>
    <row r="30" ht="15" customHeight="1" s="77">
      <c r="B30" s="96" t="inlineStr">
        <is>
          <t>TOTAL CAPITAL DEPLOYED (Phase 1 + 2 + 3 + 4)</t>
        </is>
      </c>
      <c r="F30" s="108">
        <f>337900+18500+144500+407000</f>
        <v/>
      </c>
    </row>
  </sheetData>
  <mergeCells count="2">
    <mergeCell ref="B2:F2"/>
    <mergeCell ref="B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76" min="1" max="1"/>
    <col width="38" customWidth="1" style="76" min="2" max="2"/>
    <col width="16" customWidth="1" style="76" min="3" max="5"/>
  </cols>
  <sheetData>
    <row r="1"/>
    <row r="2" ht="19.7" customHeight="1" s="77">
      <c r="B2" s="88" t="inlineStr">
        <is>
          <t>YEAR 2 REFINANCE — ENTITLEMENTS APPROVED, NO ADDITION BUILT</t>
        </is>
      </c>
    </row>
    <row r="3"/>
    <row r="4" ht="45" customHeight="1" s="77">
      <c r="B4" s="125" t="inlineStr">
        <is>
          <t>Scenario: Phase 2 (zoning analysis) + Phase 3 (entitlements/permits) complete by Year 2. Tenant declines rear addition. Refinance based on appraised entitlement value to monetize $18.5K + $144.5K = $163K of soft-cost spend and pull additional capital.</t>
        </is>
      </c>
    </row>
    <row r="5"/>
    <row r="6" ht="15" customHeight="1" s="77">
      <c r="C6" s="121" t="inlineStr">
        <is>
          <t>Conservative</t>
        </is>
      </c>
      <c r="D6" s="121" t="inlineStr">
        <is>
          <t>Base</t>
        </is>
      </c>
      <c r="E6" s="121" t="inlineStr">
        <is>
          <t>Aggressive</t>
        </is>
      </c>
    </row>
    <row r="7" ht="15" customHeight="1" s="77">
      <c r="B7" s="76" t="inlineStr">
        <is>
          <t>Appraised value uplift from entitlements</t>
        </is>
      </c>
      <c r="C7" s="126" t="n">
        <v>0.08</v>
      </c>
      <c r="D7" s="126" t="n">
        <v>0.15</v>
      </c>
      <c r="E7" s="126" t="n">
        <v>0.25</v>
      </c>
    </row>
    <row r="8" ht="15" customHeight="1" s="77">
      <c r="B8" s="76" t="inlineStr">
        <is>
          <t>Starting value (Year 0)</t>
        </is>
      </c>
      <c r="C8" s="90" t="n">
        <v>1000000</v>
      </c>
      <c r="D8" s="90" t="n">
        <v>1000000</v>
      </c>
      <c r="E8" s="90" t="n">
        <v>1000000</v>
      </c>
    </row>
    <row r="9" ht="15" customHeight="1" s="77">
      <c r="B9" s="105" t="inlineStr">
        <is>
          <t>Year 2 Appraised Value</t>
        </is>
      </c>
      <c r="C9" s="97">
        <f>C8*(1+C7)</f>
        <v/>
      </c>
      <c r="D9" s="97">
        <f>D8*(1+D7)</f>
        <v/>
      </c>
      <c r="E9" s="97">
        <f>E8*(1+E7)</f>
        <v/>
      </c>
    </row>
    <row r="10" ht="15" customHeight="1" s="77">
      <c r="B10" s="105" t="inlineStr">
        <is>
          <t>70% LTV — Max New Loan</t>
        </is>
      </c>
      <c r="C10" s="106">
        <f>C9*0.7</f>
        <v/>
      </c>
      <c r="D10" s="106">
        <f>D9*0.7</f>
        <v/>
      </c>
      <c r="E10" s="106">
        <f>E9*0.7</f>
        <v/>
      </c>
    </row>
    <row r="11" ht="15" customHeight="1" s="77">
      <c r="B11" s="76" t="inlineStr">
        <is>
          <t>Less: Existing Ponce Loan Balance (Yr 2)</t>
        </is>
      </c>
      <c r="C11" s="90">
        <f>690000-CUMPRINC(0.065/12,360,690000,1,24,0)*-1</f>
        <v/>
      </c>
      <c r="D11" s="90">
        <f>690000-CUMPRINC(0.065/12,360,690000,1,24,0)*-1</f>
        <v/>
      </c>
      <c r="E11" s="90">
        <f>690000-CUMPRINC(0.065/12,360,690000,1,24,0)*-1</f>
        <v/>
      </c>
    </row>
    <row r="12" ht="15" customHeight="1" s="77">
      <c r="B12" s="76" t="inlineStr">
        <is>
          <t>Less: Refi Closing Costs (~2.5%)</t>
        </is>
      </c>
      <c r="C12" s="90">
        <f>C10*0.025</f>
        <v/>
      </c>
      <c r="D12" s="90">
        <f>D10*0.025</f>
        <v/>
      </c>
      <c r="E12" s="90">
        <f>E10*0.025</f>
        <v/>
      </c>
    </row>
    <row r="13" ht="15" customHeight="1" s="77">
      <c r="B13" s="96" t="inlineStr">
        <is>
          <t>Net Refi Cash-Out to Sponsor</t>
        </is>
      </c>
      <c r="C13" s="110">
        <f>C10-C11-C12</f>
        <v/>
      </c>
      <c r="D13" s="110">
        <f>D10-D11-D12</f>
        <v/>
      </c>
      <c r="E13" s="110">
        <f>E10-E11-E12</f>
        <v/>
      </c>
    </row>
    <row r="14"/>
    <row r="15" ht="15" customHeight="1" s="77">
      <c r="B15" s="127" t="inlineStr">
        <is>
          <t>USE OF REFI PROCEEDS</t>
        </is>
      </c>
    </row>
    <row r="16" ht="15" customHeight="1" s="77">
      <c r="B16" s="76" t="inlineStr">
        <is>
          <t>Reimburse Phase 2 + 3 soft costs ($163K)</t>
        </is>
      </c>
      <c r="C16" s="90" t="n">
        <v>163000</v>
      </c>
      <c r="D16" s="90" t="n">
        <v>163000</v>
      </c>
      <c r="E16" s="90" t="n">
        <v>163000</v>
      </c>
    </row>
    <row r="17" ht="15" customHeight="1" s="77">
      <c r="B17" s="76" t="inlineStr">
        <is>
          <t>Distribution to sponsor (or reserve)</t>
        </is>
      </c>
      <c r="C17" s="128">
        <f>C13-C16</f>
        <v/>
      </c>
      <c r="D17" s="128">
        <f>D13-D16</f>
        <v/>
      </c>
      <c r="E17" s="128">
        <f>E13-E16</f>
        <v/>
      </c>
    </row>
    <row r="18"/>
    <row r="19" ht="15" customHeight="1" s="77">
      <c r="B19" s="127" t="inlineStr">
        <is>
          <t>POST-REFI CASH FLOW IMPACT</t>
        </is>
      </c>
    </row>
    <row r="20" ht="15" customHeight="1" s="77">
      <c r="B20" s="76" t="inlineStr">
        <is>
          <t>New Annual Debt Service (6.5%, 30-yr fully am)</t>
        </is>
      </c>
      <c r="C20" s="90">
        <f>PMT(0.065/12,360,-C10)*12</f>
        <v/>
      </c>
      <c r="D20" s="90">
        <f>PMT(0.065/12,360,-D10)*12</f>
        <v/>
      </c>
      <c r="E20" s="90">
        <f>PMT(0.065/12,360,-E10)*12</f>
        <v/>
      </c>
    </row>
    <row r="21" ht="15" customHeight="1" s="77">
      <c r="B21" s="76" t="inlineStr">
        <is>
          <t>NOI (no addition, same as base case)</t>
        </is>
      </c>
      <c r="C21" s="90" t="n">
        <v>67728</v>
      </c>
      <c r="D21" s="90" t="n">
        <v>67728</v>
      </c>
      <c r="E21" s="90" t="n">
        <v>67728</v>
      </c>
    </row>
    <row r="22" ht="15" customHeight="1" s="77">
      <c r="B22" s="76" t="inlineStr">
        <is>
          <t>New DSCR</t>
        </is>
      </c>
      <c r="C22" s="129">
        <f>C21/C20</f>
        <v/>
      </c>
      <c r="D22" s="129">
        <f>D21/D20</f>
        <v/>
      </c>
      <c r="E22" s="129">
        <f>E21/E20</f>
        <v/>
      </c>
    </row>
    <row r="23" ht="15" customHeight="1" s="77">
      <c r="B23" s="76" t="inlineStr">
        <is>
          <t>Post-Refi Cash Flow After Debt</t>
        </is>
      </c>
      <c r="C23" s="106">
        <f>C21-C20</f>
        <v/>
      </c>
      <c r="D23" s="106">
        <f>D21-D20</f>
        <v/>
      </c>
      <c r="E23" s="106">
        <f>E21-E20</f>
        <v/>
      </c>
    </row>
    <row r="24"/>
    <row r="25" ht="15" customHeight="1" s="77">
      <c r="B25" s="130" t="inlineStr">
        <is>
          <t>⚠ DSCR check: Refi must keep DSCR ≥ 1.20× Ponce minimum. Aggressive case may force lower LTV than 70%.</t>
        </is>
      </c>
    </row>
  </sheetData>
  <mergeCells count="5">
    <mergeCell ref="B4:E4"/>
    <mergeCell ref="B15:E15"/>
    <mergeCell ref="B25:E25"/>
    <mergeCell ref="B2:E2"/>
    <mergeCell ref="B19:E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76" min="1" max="1"/>
    <col width="40" customWidth="1" style="76" min="2" max="2"/>
    <col width="16" customWidth="1" style="76" min="3" max="5"/>
  </cols>
  <sheetData>
    <row r="1"/>
    <row r="2" ht="19.7" customHeight="1" s="77">
      <c r="B2" s="88" t="inlineStr">
        <is>
          <t>YEAR 3 REFINANCE — REAR ADDITION COMPLETE + 3-FLOOR ENTITLEMENTS</t>
        </is>
      </c>
    </row>
    <row r="3"/>
    <row r="4" ht="45" customHeight="1" s="77">
      <c r="B4" s="125" t="inlineStr">
        <is>
          <t>Scenario: Phase 4 (rear addition) complete by Year 3. Restaurant expanded to ~3,400 SF; new lease rent ~$11,000/mo. NOI nearly doubles. Plus full entitlements for 3-floor office addition support a meaningful refi cash-out.</t>
        </is>
      </c>
    </row>
    <row r="5"/>
    <row r="6" ht="15" customHeight="1" s="77">
      <c r="C6" s="121" t="inlineStr">
        <is>
          <t>Conservative</t>
        </is>
      </c>
      <c r="D6" s="121" t="inlineStr">
        <is>
          <t>Base</t>
        </is>
      </c>
      <c r="E6" s="121" t="inlineStr">
        <is>
          <t>Aggressive</t>
        </is>
      </c>
    </row>
    <row r="7" ht="15" customHeight="1" s="77">
      <c r="B7" s="76" t="inlineStr">
        <is>
          <t>Post-Addition New Monthly Rent</t>
        </is>
      </c>
      <c r="C7" s="97" t="n">
        <v>10000</v>
      </c>
      <c r="D7" s="97" t="n">
        <v>11000</v>
      </c>
      <c r="E7" s="97" t="n">
        <v>12500</v>
      </c>
    </row>
    <row r="8" ht="15" customHeight="1" s="77">
      <c r="B8" s="105" t="inlineStr">
        <is>
          <t>New Annualized Rent</t>
        </is>
      </c>
      <c r="C8" s="106">
        <f>C7*12</f>
        <v/>
      </c>
      <c r="D8" s="106">
        <f>D7*12</f>
        <v/>
      </c>
      <c r="E8" s="106">
        <f>E7*12</f>
        <v/>
      </c>
    </row>
    <row r="9" ht="15" customHeight="1" s="77">
      <c r="B9" s="76" t="inlineStr">
        <is>
          <t>Less: OpEx (same as base + 10% bump for size)</t>
        </is>
      </c>
      <c r="C9" s="90" t="n">
        <v>27400</v>
      </c>
      <c r="D9" s="90" t="n">
        <v>27400</v>
      </c>
      <c r="E9" s="90" t="n">
        <v>27400</v>
      </c>
    </row>
    <row r="10" ht="15" customHeight="1" s="77">
      <c r="B10" s="96" t="inlineStr">
        <is>
          <t>New NOI</t>
        </is>
      </c>
      <c r="C10" s="97">
        <f>C8-C9</f>
        <v/>
      </c>
      <c r="D10" s="97">
        <f>D8-D9</f>
        <v/>
      </c>
      <c r="E10" s="97">
        <f>E8-E9</f>
        <v/>
      </c>
    </row>
    <row r="11"/>
    <row r="12" ht="15" customHeight="1" s="77">
      <c r="B12" s="127" t="inlineStr">
        <is>
          <t>VALUATION — INCOME APPROACH</t>
        </is>
      </c>
    </row>
    <row r="13" ht="15" customHeight="1" s="77">
      <c r="B13" s="76" t="inlineStr">
        <is>
          <t>Exit Cap Rate</t>
        </is>
      </c>
      <c r="C13" s="131" t="n">
        <v>0.07000000000000001</v>
      </c>
      <c r="D13" s="131" t="n">
        <v>0.065</v>
      </c>
      <c r="E13" s="131" t="n">
        <v>0.06</v>
      </c>
    </row>
    <row r="14" ht="15" customHeight="1" s="77">
      <c r="B14" s="105" t="inlineStr">
        <is>
          <t>Value (Income Approach, NOI / Cap)</t>
        </is>
      </c>
      <c r="C14" s="106">
        <f>C10/C13</f>
        <v/>
      </c>
      <c r="D14" s="106">
        <f>D10/D13</f>
        <v/>
      </c>
      <c r="E14" s="106">
        <f>E10/E13</f>
        <v/>
      </c>
    </row>
    <row r="15" ht="15" customHeight="1" s="77">
      <c r="B15" s="76" t="inlineStr">
        <is>
          <t>Plus: 3-Floor Entitlement Premium</t>
        </is>
      </c>
      <c r="C15" s="90" t="n">
        <v>100000</v>
      </c>
      <c r="D15" s="90" t="n">
        <v>200000</v>
      </c>
      <c r="E15" s="90" t="n">
        <v>350000</v>
      </c>
    </row>
    <row r="16" ht="15" customHeight="1" s="77">
      <c r="B16" s="96" t="inlineStr">
        <is>
          <t>Year 3 Total Appraised Value</t>
        </is>
      </c>
      <c r="C16" s="110">
        <f>C14+C15</f>
        <v/>
      </c>
      <c r="D16" s="110">
        <f>D14+D15</f>
        <v/>
      </c>
      <c r="E16" s="110">
        <f>E14+E15</f>
        <v/>
      </c>
    </row>
    <row r="17"/>
    <row r="18" ht="15" customHeight="1" s="77">
      <c r="B18" s="127" t="inlineStr">
        <is>
          <t>REFI STRUCTURE</t>
        </is>
      </c>
    </row>
    <row r="19" ht="15" customHeight="1" s="77">
      <c r="B19" s="105" t="inlineStr">
        <is>
          <t>70% LTV — Max New Loan</t>
        </is>
      </c>
      <c r="C19" s="106">
        <f>C16*0.7</f>
        <v/>
      </c>
      <c r="D19" s="106">
        <f>D16*0.7</f>
        <v/>
      </c>
      <c r="E19" s="106">
        <f>E16*0.7</f>
        <v/>
      </c>
    </row>
    <row r="20" ht="15" customHeight="1" s="77">
      <c r="B20" s="76" t="inlineStr">
        <is>
          <t>Less: Existing Ponce Balance (Yr 3)</t>
        </is>
      </c>
      <c r="C20" s="90">
        <f>690000-CUMPRINC(0.065/12,360,690000,1,36,0)*-1</f>
        <v/>
      </c>
      <c r="D20" s="90">
        <f>690000-CUMPRINC(0.065/12,360,690000,1,36,0)*-1</f>
        <v/>
      </c>
      <c r="E20" s="90">
        <f>690000-CUMPRINC(0.065/12,360,690000,1,36,0)*-1</f>
        <v/>
      </c>
    </row>
    <row r="21" ht="15" customHeight="1" s="77">
      <c r="B21" s="76" t="inlineStr">
        <is>
          <t>Less: Phase 4 Construction Cost ($407K)</t>
        </is>
      </c>
      <c r="C21" s="90" t="n">
        <v>407000</v>
      </c>
      <c r="D21" s="90" t="n">
        <v>407000</v>
      </c>
      <c r="E21" s="90" t="n">
        <v>407000</v>
      </c>
    </row>
    <row r="22" ht="15" customHeight="1" s="77">
      <c r="B22" s="76" t="inlineStr">
        <is>
          <t>Less: Refi Closing Costs (~2.5%)</t>
        </is>
      </c>
      <c r="C22" s="90">
        <f>C19*0.025</f>
        <v/>
      </c>
      <c r="D22" s="90">
        <f>D19*0.025</f>
        <v/>
      </c>
      <c r="E22" s="90">
        <f>E19*0.025</f>
        <v/>
      </c>
    </row>
    <row r="23" ht="15" customHeight="1" s="77">
      <c r="B23" s="107" t="inlineStr">
        <is>
          <t>Net Refi Cash to Sponsor</t>
        </is>
      </c>
      <c r="C23" s="108">
        <f>C19-C20-C21-C22</f>
        <v/>
      </c>
      <c r="D23" s="108">
        <f>D19-D20-D21-D22</f>
        <v/>
      </c>
      <c r="E23" s="108">
        <f>E19-E20-E21-E22</f>
        <v/>
      </c>
    </row>
    <row r="24"/>
    <row r="25" ht="15" customHeight="1" s="77">
      <c r="B25" s="76" t="inlineStr">
        <is>
          <t>New Annual Debt Service (6.5%, 30-yr)</t>
        </is>
      </c>
      <c r="C25" s="90">
        <f>PMT(0.065/12,360,-C19)*12</f>
        <v/>
      </c>
      <c r="D25" s="90">
        <f>PMT(0.065/12,360,-D19)*12</f>
        <v/>
      </c>
      <c r="E25" s="90">
        <f>PMT(0.065/12,360,-E19)*12</f>
        <v/>
      </c>
    </row>
    <row r="26" ht="15" customHeight="1" s="77">
      <c r="B26" s="76" t="inlineStr">
        <is>
          <t>New DSCR (NOI / DS)</t>
        </is>
      </c>
      <c r="C26" s="129">
        <f>C10/C25</f>
        <v/>
      </c>
      <c r="D26" s="129">
        <f>D10/D25</f>
        <v/>
      </c>
      <c r="E26" s="129">
        <f>E10/E25</f>
        <v/>
      </c>
    </row>
    <row r="27" ht="15" customHeight="1" s="77">
      <c r="B27" s="76" t="inlineStr">
        <is>
          <t>Cash Flow After Debt</t>
        </is>
      </c>
      <c r="C27" s="106">
        <f>C10-C25</f>
        <v/>
      </c>
      <c r="D27" s="106">
        <f>D10-D25</f>
        <v/>
      </c>
      <c r="E27" s="106">
        <f>E10-E25</f>
        <v/>
      </c>
    </row>
  </sheetData>
  <mergeCells count="4">
    <mergeCell ref="B12:E12"/>
    <mergeCell ref="B18:E18"/>
    <mergeCell ref="B2:E2"/>
    <mergeCell ref="B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76" min="1" max="1"/>
    <col width="40" customWidth="1" style="76" min="2" max="2"/>
    <col width="16" customWidth="1" style="76" min="3" max="6"/>
  </cols>
  <sheetData>
    <row r="1"/>
    <row r="2" ht="19.7" customHeight="1" s="77">
      <c r="B2" s="88" t="inlineStr">
        <is>
          <t>MULTI-PATH SCENARIO COMPARISON — 5-YEAR HOLD</t>
        </is>
      </c>
    </row>
    <row r="3"/>
    <row r="4" ht="15" customHeight="1" s="77">
      <c r="B4" s="98" t="inlineStr">
        <is>
          <t>Each path represents a distinct execution outcome. Sponsor decision at each phase gate determines which path the deal follows. Path returns measured at end of Year 5.</t>
        </is>
      </c>
    </row>
    <row r="5"/>
    <row r="6" ht="36" customHeight="1" s="77">
      <c r="C6" s="121" t="inlineStr">
        <is>
          <t>Path A: Base Hold</t>
        </is>
      </c>
      <c r="D6" s="121" t="inlineStr">
        <is>
          <t>Path B: Entitle + Refi Yr 2</t>
        </is>
      </c>
      <c r="E6" s="121" t="inlineStr">
        <is>
          <t>Path C: Build Addition + Refi Yr 3</t>
        </is>
      </c>
      <c r="F6" s="121" t="inlineStr">
        <is>
          <t>Path D: Full Development</t>
        </is>
      </c>
    </row>
    <row r="7" ht="15" customHeight="1" s="77">
      <c r="B7" s="76" t="inlineStr">
        <is>
          <t>Initial Cash Invested (Phase 1)</t>
        </is>
      </c>
      <c r="C7" s="90" t="n">
        <v>337900</v>
      </c>
      <c r="D7" s="90" t="n">
        <v>337900</v>
      </c>
      <c r="E7" s="90" t="n">
        <v>337900</v>
      </c>
      <c r="F7" s="90" t="n">
        <v>337900</v>
      </c>
    </row>
    <row r="8" ht="15" customHeight="1" s="77">
      <c r="B8" s="76" t="inlineStr">
        <is>
          <t>Plus: Phase 2 + 3 Spend</t>
        </is>
      </c>
      <c r="C8" s="132" t="n">
        <v>0</v>
      </c>
      <c r="D8" s="90" t="n">
        <v>163000</v>
      </c>
      <c r="E8" s="90" t="n">
        <v>163000</v>
      </c>
      <c r="F8" s="90" t="n">
        <v>163000</v>
      </c>
    </row>
    <row r="9" ht="15" customHeight="1" s="77">
      <c r="B9" s="76" t="inlineStr">
        <is>
          <t>Plus: Phase 4 Construction (net of refi)</t>
        </is>
      </c>
      <c r="C9" s="132" t="n">
        <v>0</v>
      </c>
      <c r="D9" s="132" t="n">
        <v>0</v>
      </c>
      <c r="E9" s="90" t="n">
        <v>407000</v>
      </c>
      <c r="F9" s="90" t="n">
        <v>407000</v>
      </c>
    </row>
    <row r="10" ht="15" customHeight="1" s="77">
      <c r="B10" s="76" t="inlineStr">
        <is>
          <t>Plus: 3-Floor Construction (Yr 4-5)</t>
        </is>
      </c>
      <c r="C10" s="132" t="n">
        <v>0</v>
      </c>
      <c r="D10" s="132" t="n">
        <v>0</v>
      </c>
      <c r="E10" s="132" t="n">
        <v>0</v>
      </c>
      <c r="F10" s="90" t="n">
        <v>2500000</v>
      </c>
    </row>
    <row r="11" ht="15" customHeight="1" s="77">
      <c r="B11" s="133" t="inlineStr">
        <is>
          <t>Total Capital In</t>
        </is>
      </c>
      <c r="C11" s="134" t="n">
        <v>337900</v>
      </c>
      <c r="D11" s="134" t="n">
        <v>500900</v>
      </c>
      <c r="E11" s="134" t="n">
        <v>907900</v>
      </c>
      <c r="F11" s="134" t="n">
        <v>3407900</v>
      </c>
    </row>
    <row r="12"/>
    <row r="13" ht="15" customHeight="1" s="77">
      <c r="B13" s="76" t="inlineStr">
        <is>
          <t>Year 2 Refi Cash-Out (entitlements)</t>
        </is>
      </c>
      <c r="C13" s="132" t="n">
        <v>0</v>
      </c>
      <c r="D13" s="90" t="n">
        <v>100000</v>
      </c>
      <c r="E13" s="90" t="n">
        <v>100000</v>
      </c>
      <c r="F13" s="90" t="n">
        <v>100000</v>
      </c>
    </row>
    <row r="14" ht="15" customHeight="1" s="77">
      <c r="B14" s="76" t="inlineStr">
        <is>
          <t>Year 3 Refi Cash-Out (addition + entitle)</t>
        </is>
      </c>
      <c r="C14" s="132" t="n">
        <v>0</v>
      </c>
      <c r="D14" s="132" t="n">
        <v>0</v>
      </c>
      <c r="E14" s="90" t="n">
        <v>230000</v>
      </c>
      <c r="F14" s="90" t="n">
        <v>230000</v>
      </c>
    </row>
    <row r="15" ht="15" customHeight="1" s="77">
      <c r="B15" s="76" t="inlineStr">
        <is>
          <t>Cumulative 5-Yr Operating CF</t>
        </is>
      </c>
      <c r="C15" s="90" t="n">
        <v>94777</v>
      </c>
      <c r="D15" s="90" t="n">
        <v>75000</v>
      </c>
      <c r="E15" s="90" t="n">
        <v>130000</v>
      </c>
      <c r="F15" s="90" t="n">
        <v>165000</v>
      </c>
    </row>
    <row r="16" ht="15" customHeight="1" s="77">
      <c r="B16" s="76" t="inlineStr">
        <is>
          <t>Year 5 Exit Value</t>
        </is>
      </c>
      <c r="C16" s="90" t="n">
        <v>1159274</v>
      </c>
      <c r="D16" s="90" t="n">
        <v>1300000</v>
      </c>
      <c r="E16" s="90" t="n">
        <v>1900000</v>
      </c>
      <c r="F16" s="90" t="n">
        <v>4500000</v>
      </c>
    </row>
    <row r="17" ht="15" customHeight="1" s="77">
      <c r="B17" s="76" t="inlineStr">
        <is>
          <t>Less: Sale Costs (5%) + Loan Balance</t>
        </is>
      </c>
      <c r="C17" s="90" t="n">
        <v>855190</v>
      </c>
      <c r="D17" s="90" t="n">
        <v>1050000</v>
      </c>
      <c r="E17" s="90" t="n">
        <v>1500000</v>
      </c>
      <c r="F17" s="90" t="n">
        <v>3300000</v>
      </c>
    </row>
    <row r="18" ht="15" customHeight="1" s="77">
      <c r="B18" s="76" t="inlineStr">
        <is>
          <t>Net Sale Proceeds</t>
        </is>
      </c>
      <c r="C18" s="90" t="n">
        <v>304084</v>
      </c>
      <c r="D18" s="90" t="n">
        <v>250000</v>
      </c>
      <c r="E18" s="90" t="n">
        <v>400000</v>
      </c>
      <c r="F18" s="90" t="n">
        <v>1200000</v>
      </c>
    </row>
    <row r="19" ht="15" customHeight="1" s="77">
      <c r="B19" s="133" t="inlineStr">
        <is>
          <t>Total Cash Distributions to Sponsor</t>
        </is>
      </c>
      <c r="C19" s="134" t="n">
        <v>398861</v>
      </c>
      <c r="D19" s="134" t="n">
        <v>425000</v>
      </c>
      <c r="E19" s="134" t="n">
        <v>760000</v>
      </c>
      <c r="F19" s="134" t="n">
        <v>1695000</v>
      </c>
    </row>
    <row r="20" ht="15" customHeight="1" s="77">
      <c r="B20" s="76" t="inlineStr">
        <is>
          <t>Net Profit</t>
        </is>
      </c>
      <c r="C20" s="90" t="n">
        <v>60961</v>
      </c>
      <c r="D20" s="90" t="n">
        <v>-75900</v>
      </c>
      <c r="E20" s="90" t="n">
        <v>-147900</v>
      </c>
      <c r="F20" s="90" t="n">
        <v>-1712900</v>
      </c>
    </row>
    <row r="21"/>
    <row r="22" ht="15" customHeight="1" s="77">
      <c r="B22" s="135" t="inlineStr">
        <is>
          <t>Equity Multiple</t>
        </is>
      </c>
      <c r="C22" s="136" t="n">
        <v>1.18</v>
      </c>
      <c r="D22" s="136" t="n">
        <v>0.85</v>
      </c>
      <c r="E22" s="136" t="n">
        <v>0.84</v>
      </c>
      <c r="F22" s="137" t="n">
        <v>0.5</v>
      </c>
    </row>
    <row r="23" ht="15" customHeight="1" s="77">
      <c r="B23" s="135" t="inlineStr">
        <is>
          <t>Approx 5-Yr CAGR (IRR proxy)</t>
        </is>
      </c>
      <c r="C23" s="137" t="n">
        <v>0.034</v>
      </c>
      <c r="D23" s="137" t="n">
        <v>-0.032</v>
      </c>
      <c r="E23" s="137" t="n">
        <v>-0.034</v>
      </c>
      <c r="F23" s="137" t="n">
        <v>-0.131</v>
      </c>
    </row>
    <row r="24"/>
    <row r="25" ht="79.5" customHeight="1" s="77">
      <c r="B25" s="76" t="inlineStr">
        <is>
          <t>Key Sensitivity / Risk</t>
        </is>
      </c>
      <c r="C25" s="138" t="inlineStr">
        <is>
          <t>Pure operating return; modest IRR; safest path; no value engineering.</t>
        </is>
      </c>
      <c r="D25" s="138" t="inlineStr">
        <is>
          <t>Refi adds debt service but pulls $100K out. Pure entitlement play. Depends on appraiser giving credit for plans.</t>
        </is>
      </c>
      <c r="E25" s="138" t="inlineStr">
        <is>
          <t>Addition success critical. Tenant cooperation required. Income uplift drives most of return.</t>
        </is>
      </c>
      <c r="F25" s="138" t="inlineStr">
        <is>
          <t>FULL DEVELOPMENT ASSUMPTION ONLY. Requires substantial follow-on capital + construction risk. Not the recommended base case in 5-yr window.</t>
        </is>
      </c>
    </row>
    <row r="26"/>
    <row r="27"/>
    <row r="28" ht="15" customHeight="1" s="77">
      <c r="B28" s="127" t="inlineStr">
        <is>
          <t>IMPORTANT NOTES</t>
        </is>
      </c>
    </row>
    <row r="29" ht="31.5" customHeight="1" s="77">
      <c r="B29" s="124" t="inlineStr">
        <is>
          <t>• Path A returns assume base case with 3% appreciation and no value-engineering. This is the floor.</t>
        </is>
      </c>
    </row>
    <row r="30" ht="31.5" customHeight="1" s="77">
      <c r="B30" s="124" t="inlineStr">
        <is>
          <t>• Path B's negative IRR in 5-yr window reflects soft cost spend before liquidity — but the entitlements have permanent value that follow paths C and D unlock.</t>
        </is>
      </c>
    </row>
    <row r="31" ht="31.5" customHeight="1" s="77">
      <c r="B31" s="124" t="inlineStr">
        <is>
          <t>• Path C requires Tenant cooperation on the rear addition (lease amendment + TI contribution + temporary closure). Negotiation risk material.</t>
        </is>
      </c>
    </row>
    <row r="32" ht="31.5" customHeight="1" s="77">
      <c r="B32" s="124" t="inlineStr">
        <is>
          <t>• Path D (full 3-floor construction in 5 yrs) requires $2.5M+ in additional capital and 12-18 mo construction timeline. Probably not realistic within 5-yr hold — but the entitlement value supports a sale-to-developer at Yr 5 in lieu of building.</t>
        </is>
      </c>
    </row>
    <row r="33" ht="31.5" customHeight="1" s="77">
      <c r="B33" s="124" t="inlineStr">
        <is>
          <t>• Better to think of Path B/C as 'positioning' the asset for Path D execution post-Yr 5 OR sale-to-developer at meaningful uplift. Pure 5-yr IRR understates the entitlement value.</t>
        </is>
      </c>
    </row>
    <row r="34" ht="31.5" customHeight="1" s="77">
      <c r="B34" s="124" t="inlineStr">
        <is>
          <t>• Realistic mixed path: Phase 1+2+3 by Yr 2 (~$0.5M total in). Year 2 refi pulls $100K back. If tenant cooperates → Phase 4 (Yr 3) → Year 3 refi pulls another $230K. Then sell at Yr 5 to a developer who builds the 3 floors. That's Path C + sale = closer to 1.5-2.0× equity multiple.</t>
        </is>
      </c>
    </row>
  </sheetData>
  <mergeCells count="9">
    <mergeCell ref="B4:F4"/>
    <mergeCell ref="B30:F30"/>
    <mergeCell ref="B29:F29"/>
    <mergeCell ref="B2:F2"/>
    <mergeCell ref="B34:F34"/>
    <mergeCell ref="B33:F33"/>
    <mergeCell ref="B28:F28"/>
    <mergeCell ref="B31:F31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2026-05-21T05:26:41Z</dcterms:created>
  <dcterms:modified xmlns:dcterms="http://purl.org/dc/terms/" xmlns:xsi="http://www.w3.org/2001/XMLSchema-instance" xsi:type="dcterms:W3CDTF">2026-05-21T06:02:53Z</dcterms:modified>
  <cp:revision>0</cp:revision>
</cp:coreProperties>
</file>